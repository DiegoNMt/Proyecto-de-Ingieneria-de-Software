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tmedu-my.sharepoint.com/personal/al02942419_tecmilenio_mx/Documents/Escuela/8vo Semestre/Proyecto de ingeniería de software/Actividad 12/"/>
    </mc:Choice>
  </mc:AlternateContent>
  <xr:revisionPtr revIDLastSave="9" documentId="11_99B77A615A7DF18C8026034F8A679E17DEC71139" xr6:coauthVersionLast="47" xr6:coauthVersionMax="47" xr10:uidLastSave="{AF97290E-EBC6-4392-9EE3-2CAFED7E47C5}"/>
  <bookViews>
    <workbookView xWindow="384" yWindow="384" windowWidth="18708" windowHeight="11220" firstSheet="2" activeTab="4" xr2:uid="{00000000-000D-0000-FFFF-FFFF00000000}"/>
  </bookViews>
  <sheets>
    <sheet name="Team Roster" sheetId="1" r:id="rId1"/>
    <sheet name="Capacity" sheetId="2" r:id="rId2"/>
    <sheet name="Analysis" sheetId="3" r:id="rId3"/>
    <sheet name="Project Specific Reports" sheetId="4" r:id="rId4"/>
    <sheet name="Sprint" sheetId="5" r:id="rId5"/>
    <sheet name="Sprint History" sheetId="6" r:id="rId6"/>
  </sheets>
  <externalReferences>
    <externalReference r:id="rId7"/>
  </externalReferences>
  <definedNames>
    <definedName name="Burndown" localSheetId="2">Sprint!$J$4:$CD$67</definedName>
    <definedName name="Burndown">Sprint!$J$4:$CD$67</definedName>
    <definedName name="BurndownColumns" localSheetId="2">Analysis!$E$44</definedName>
    <definedName name="BurndownColumns">Analysis!$E$44</definedName>
    <definedName name="DailyScrumDateModifier" localSheetId="2">Analysis!$E$41</definedName>
    <definedName name="DailyScrumDateModifier">Analysis!$E$41</definedName>
    <definedName name="Deliverable">'Project Specific Reports'!$A$9:$A$24</definedName>
    <definedName name="HoursLeftColumn" localSheetId="2">Analysis!$E$46</definedName>
    <definedName name="HoursLeftColumn">Analysis!$E$46</definedName>
    <definedName name="HoursSpentColumn" localSheetId="2">Analysis!$E$45</definedName>
    <definedName name="HoursSpentColumn">Analysis!$E$45</definedName>
    <definedName name="LastRow">Sprint!#REF!</definedName>
    <definedName name="LeftColumn" localSheetId="2">Analysis!$E$46</definedName>
    <definedName name="LeftColumn">Analysis!$E$46</definedName>
    <definedName name="Members" localSheetId="2">OFFSET('Team Roster'!$D$8,0,0,COUNTA('Team Roster'!$D:$D)-1,1)</definedName>
    <definedName name="Members" localSheetId="4">OFFSET('Team Roster'!$D$8,0,0,COUNTA('Team Roster'!$D:$D)-1,1)</definedName>
    <definedName name="Members">OFFSET('Team Roster'!$D$8,0,0,COUNTA('Team Roster'!$D:$D)-1,1)</definedName>
    <definedName name="SkipWeekends" localSheetId="2">Analysis!$E$40</definedName>
    <definedName name="SkipWeekends">Analysis!$E$40</definedName>
    <definedName name="SpentColumn" localSheetId="2">Analysis!$E$45</definedName>
    <definedName name="SpentColumn">Analysis!$E$45</definedName>
    <definedName name="SprintDates" localSheetId="2">Sprint!$J$1:$CD$1</definedName>
    <definedName name="SprintDates">Sprint!$J$1:$CD$1</definedName>
    <definedName name="SprintStart">Capacity!$E$3</definedName>
    <definedName name="Start_Date">Capacity!$E$3</definedName>
    <definedName name="StatusColumn" localSheetId="2">Analysis!$E$47</definedName>
    <definedName name="StatusColumn">Analysis!$E$47</definedName>
    <definedName name="StatusTypes" localSheetId="2">Analysis!$A$50:$A$50</definedName>
    <definedName name="StatusTypes">Analysis!$A$50:$A$50</definedName>
    <definedName name="TotalEffort" localSheetId="2">Sprint!$CE$4:$CE$67</definedName>
    <definedName name="TotalEffort">Sprint!$CE$4:$CE$67</definedName>
    <definedName name="Worktype">'Project Specific Reports'!$A$2:$A$5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72" i="5" l="1"/>
  <c r="CA72" i="5"/>
  <c r="BZ72" i="5"/>
  <c r="BX72" i="5"/>
  <c r="BW72" i="5"/>
  <c r="BU72" i="5"/>
  <c r="BT72" i="5"/>
  <c r="BR72" i="5"/>
  <c r="BQ72" i="5"/>
  <c r="BO72" i="5"/>
  <c r="BN72" i="5"/>
  <c r="BL72" i="5"/>
  <c r="BK72" i="5"/>
  <c r="BI72" i="5"/>
  <c r="BH72" i="5"/>
  <c r="BF72" i="5"/>
  <c r="BE72" i="5"/>
  <c r="BC72" i="5"/>
  <c r="BB72" i="5"/>
  <c r="AZ72" i="5"/>
  <c r="BJ66" i="5"/>
  <c r="BM66" i="5" s="1"/>
  <c r="BP66" i="5" s="1"/>
  <c r="BS66" i="5" s="1"/>
  <c r="BV66" i="5" s="1"/>
  <c r="BY66" i="5" s="1"/>
  <c r="CB66" i="5" s="1"/>
  <c r="BG66" i="5"/>
  <c r="BD66" i="5"/>
  <c r="K66" i="5"/>
  <c r="N66" i="5" s="1"/>
  <c r="Q66" i="5" s="1"/>
  <c r="T66" i="5" s="1"/>
  <c r="W66" i="5" s="1"/>
  <c r="Z66" i="5" s="1"/>
  <c r="AC66" i="5" s="1"/>
  <c r="AF66" i="5" s="1"/>
  <c r="AI66" i="5" s="1"/>
  <c r="AL66" i="5" s="1"/>
  <c r="AO66" i="5" s="1"/>
  <c r="AR66" i="5" s="1"/>
  <c r="AU66" i="5" s="1"/>
  <c r="AX66" i="5" s="1"/>
  <c r="G66" i="5"/>
  <c r="BG65" i="5"/>
  <c r="BJ65" i="5" s="1"/>
  <c r="BM65" i="5" s="1"/>
  <c r="BP65" i="5" s="1"/>
  <c r="BS65" i="5" s="1"/>
  <c r="BV65" i="5" s="1"/>
  <c r="BY65" i="5" s="1"/>
  <c r="CB65" i="5" s="1"/>
  <c r="BD65" i="5"/>
  <c r="K65" i="5"/>
  <c r="N65" i="5" s="1"/>
  <c r="Q65" i="5" s="1"/>
  <c r="T65" i="5" s="1"/>
  <c r="W65" i="5" s="1"/>
  <c r="Z65" i="5" s="1"/>
  <c r="AC65" i="5" s="1"/>
  <c r="AF65" i="5" s="1"/>
  <c r="AI65" i="5" s="1"/>
  <c r="AL65" i="5" s="1"/>
  <c r="AO65" i="5" s="1"/>
  <c r="AR65" i="5" s="1"/>
  <c r="AU65" i="5" s="1"/>
  <c r="AX65" i="5" s="1"/>
  <c r="G65" i="5"/>
  <c r="BG64" i="5"/>
  <c r="BJ64" i="5" s="1"/>
  <c r="BM64" i="5" s="1"/>
  <c r="BP64" i="5" s="1"/>
  <c r="BS64" i="5" s="1"/>
  <c r="BV64" i="5" s="1"/>
  <c r="BY64" i="5" s="1"/>
  <c r="CB64" i="5" s="1"/>
  <c r="BD64" i="5"/>
  <c r="AU64" i="5"/>
  <c r="AX64" i="5" s="1"/>
  <c r="K64" i="5"/>
  <c r="N64" i="5" s="1"/>
  <c r="Q64" i="5" s="1"/>
  <c r="T64" i="5" s="1"/>
  <c r="W64" i="5" s="1"/>
  <c r="Z64" i="5" s="1"/>
  <c r="AC64" i="5" s="1"/>
  <c r="AF64" i="5" s="1"/>
  <c r="AI64" i="5" s="1"/>
  <c r="AL64" i="5" s="1"/>
  <c r="AO64" i="5" s="1"/>
  <c r="AR64" i="5" s="1"/>
  <c r="G64" i="5"/>
  <c r="BD63" i="5"/>
  <c r="BG63" i="5" s="1"/>
  <c r="BJ63" i="5" s="1"/>
  <c r="BM63" i="5" s="1"/>
  <c r="BP63" i="5" s="1"/>
  <c r="BS63" i="5" s="1"/>
  <c r="BV63" i="5" s="1"/>
  <c r="BY63" i="5" s="1"/>
  <c r="CB63" i="5" s="1"/>
  <c r="K63" i="5"/>
  <c r="N63" i="5" s="1"/>
  <c r="Q63" i="5" s="1"/>
  <c r="T63" i="5" s="1"/>
  <c r="W63" i="5" s="1"/>
  <c r="Z63" i="5" s="1"/>
  <c r="AC63" i="5" s="1"/>
  <c r="AF63" i="5" s="1"/>
  <c r="AI63" i="5" s="1"/>
  <c r="AL63" i="5" s="1"/>
  <c r="AO63" i="5" s="1"/>
  <c r="AR63" i="5" s="1"/>
  <c r="AU63" i="5" s="1"/>
  <c r="AX63" i="5" s="1"/>
  <c r="G63" i="5"/>
  <c r="BP62" i="5"/>
  <c r="BS62" i="5" s="1"/>
  <c r="BV62" i="5" s="1"/>
  <c r="BY62" i="5" s="1"/>
  <c r="CB62" i="5" s="1"/>
  <c r="BJ62" i="5"/>
  <c r="BM62" i="5" s="1"/>
  <c r="BG62" i="5"/>
  <c r="BD62" i="5"/>
  <c r="AI62" i="5"/>
  <c r="AL62" i="5" s="1"/>
  <c r="AO62" i="5" s="1"/>
  <c r="AR62" i="5" s="1"/>
  <c r="AU62" i="5" s="1"/>
  <c r="AX62" i="5" s="1"/>
  <c r="K62" i="5"/>
  <c r="N62" i="5" s="1"/>
  <c r="Q62" i="5" s="1"/>
  <c r="T62" i="5" s="1"/>
  <c r="W62" i="5" s="1"/>
  <c r="Z62" i="5" s="1"/>
  <c r="AC62" i="5" s="1"/>
  <c r="AF62" i="5" s="1"/>
  <c r="G62" i="5"/>
  <c r="BG61" i="5"/>
  <c r="BJ61" i="5" s="1"/>
  <c r="BM61" i="5" s="1"/>
  <c r="BP61" i="5" s="1"/>
  <c r="BS61" i="5" s="1"/>
  <c r="BV61" i="5" s="1"/>
  <c r="BY61" i="5" s="1"/>
  <c r="CB61" i="5" s="1"/>
  <c r="BD61" i="5"/>
  <c r="Q61" i="5"/>
  <c r="T61" i="5" s="1"/>
  <c r="W61" i="5" s="1"/>
  <c r="Z61" i="5" s="1"/>
  <c r="AC61" i="5" s="1"/>
  <c r="AF61" i="5" s="1"/>
  <c r="AI61" i="5" s="1"/>
  <c r="AL61" i="5" s="1"/>
  <c r="AO61" i="5" s="1"/>
  <c r="AR61" i="5" s="1"/>
  <c r="AU61" i="5" s="1"/>
  <c r="AX61" i="5" s="1"/>
  <c r="N61" i="5"/>
  <c r="K61" i="5"/>
  <c r="G61" i="5"/>
  <c r="BG60" i="5"/>
  <c r="BJ60" i="5" s="1"/>
  <c r="BM60" i="5" s="1"/>
  <c r="BP60" i="5" s="1"/>
  <c r="BS60" i="5" s="1"/>
  <c r="BV60" i="5" s="1"/>
  <c r="BY60" i="5" s="1"/>
  <c r="CB60" i="5" s="1"/>
  <c r="BD60" i="5"/>
  <c r="K60" i="5"/>
  <c r="N60" i="5" s="1"/>
  <c r="Q60" i="5" s="1"/>
  <c r="T60" i="5" s="1"/>
  <c r="W60" i="5" s="1"/>
  <c r="Z60" i="5" s="1"/>
  <c r="AC60" i="5" s="1"/>
  <c r="AF60" i="5" s="1"/>
  <c r="AI60" i="5" s="1"/>
  <c r="AL60" i="5" s="1"/>
  <c r="AO60" i="5" s="1"/>
  <c r="AR60" i="5" s="1"/>
  <c r="AU60" i="5" s="1"/>
  <c r="AX60" i="5" s="1"/>
  <c r="G60" i="5"/>
  <c r="BD59" i="5"/>
  <c r="BG59" i="5" s="1"/>
  <c r="BJ59" i="5" s="1"/>
  <c r="BM59" i="5" s="1"/>
  <c r="BP59" i="5" s="1"/>
  <c r="BS59" i="5" s="1"/>
  <c r="BV59" i="5" s="1"/>
  <c r="BY59" i="5" s="1"/>
  <c r="CB59" i="5" s="1"/>
  <c r="N59" i="5"/>
  <c r="Q59" i="5" s="1"/>
  <c r="T59" i="5" s="1"/>
  <c r="W59" i="5" s="1"/>
  <c r="Z59" i="5" s="1"/>
  <c r="AC59" i="5" s="1"/>
  <c r="AF59" i="5" s="1"/>
  <c r="AI59" i="5" s="1"/>
  <c r="AL59" i="5" s="1"/>
  <c r="AO59" i="5" s="1"/>
  <c r="AR59" i="5" s="1"/>
  <c r="AU59" i="5" s="1"/>
  <c r="AX59" i="5" s="1"/>
  <c r="K59" i="5"/>
  <c r="G59" i="5"/>
  <c r="BJ58" i="5"/>
  <c r="BM58" i="5" s="1"/>
  <c r="BP58" i="5" s="1"/>
  <c r="BS58" i="5" s="1"/>
  <c r="BV58" i="5" s="1"/>
  <c r="BY58" i="5" s="1"/>
  <c r="CB58" i="5" s="1"/>
  <c r="BG58" i="5"/>
  <c r="BD58" i="5"/>
  <c r="K58" i="5"/>
  <c r="N58" i="5" s="1"/>
  <c r="Q58" i="5" s="1"/>
  <c r="T58" i="5" s="1"/>
  <c r="W58" i="5" s="1"/>
  <c r="Z58" i="5" s="1"/>
  <c r="AC58" i="5" s="1"/>
  <c r="AF58" i="5" s="1"/>
  <c r="AI58" i="5" s="1"/>
  <c r="AL58" i="5" s="1"/>
  <c r="AO58" i="5" s="1"/>
  <c r="AR58" i="5" s="1"/>
  <c r="AU58" i="5" s="1"/>
  <c r="AX58" i="5" s="1"/>
  <c r="G58" i="5"/>
  <c r="BG57" i="5"/>
  <c r="BJ57" i="5" s="1"/>
  <c r="BM57" i="5" s="1"/>
  <c r="BP57" i="5" s="1"/>
  <c r="BS57" i="5" s="1"/>
  <c r="BV57" i="5" s="1"/>
  <c r="BY57" i="5" s="1"/>
  <c r="CB57" i="5" s="1"/>
  <c r="BD57" i="5"/>
  <c r="W57" i="5"/>
  <c r="Z57" i="5" s="1"/>
  <c r="AC57" i="5" s="1"/>
  <c r="AF57" i="5" s="1"/>
  <c r="AI57" i="5" s="1"/>
  <c r="AL57" i="5" s="1"/>
  <c r="AO57" i="5" s="1"/>
  <c r="AR57" i="5" s="1"/>
  <c r="AU57" i="5" s="1"/>
  <c r="AX57" i="5" s="1"/>
  <c r="Q57" i="5"/>
  <c r="T57" i="5" s="1"/>
  <c r="N57" i="5"/>
  <c r="K57" i="5"/>
  <c r="G57" i="5"/>
  <c r="BG56" i="5"/>
  <c r="BJ56" i="5" s="1"/>
  <c r="BM56" i="5" s="1"/>
  <c r="BP56" i="5" s="1"/>
  <c r="BS56" i="5" s="1"/>
  <c r="BV56" i="5" s="1"/>
  <c r="BY56" i="5" s="1"/>
  <c r="CB56" i="5" s="1"/>
  <c r="BD56" i="5"/>
  <c r="AI56" i="5"/>
  <c r="AL56" i="5" s="1"/>
  <c r="AO56" i="5" s="1"/>
  <c r="AR56" i="5" s="1"/>
  <c r="AU56" i="5" s="1"/>
  <c r="AX56" i="5" s="1"/>
  <c r="K56" i="5"/>
  <c r="N56" i="5" s="1"/>
  <c r="Q56" i="5" s="1"/>
  <c r="T56" i="5" s="1"/>
  <c r="W56" i="5" s="1"/>
  <c r="Z56" i="5" s="1"/>
  <c r="AC56" i="5" s="1"/>
  <c r="AF56" i="5" s="1"/>
  <c r="G56" i="5"/>
  <c r="BG55" i="5"/>
  <c r="BJ55" i="5" s="1"/>
  <c r="BM55" i="5" s="1"/>
  <c r="BP55" i="5" s="1"/>
  <c r="BS55" i="5" s="1"/>
  <c r="BV55" i="5" s="1"/>
  <c r="BY55" i="5" s="1"/>
  <c r="CB55" i="5" s="1"/>
  <c r="BD55" i="5"/>
  <c r="N55" i="5"/>
  <c r="Q55" i="5" s="1"/>
  <c r="T55" i="5" s="1"/>
  <c r="W55" i="5" s="1"/>
  <c r="Z55" i="5" s="1"/>
  <c r="AC55" i="5" s="1"/>
  <c r="AF55" i="5" s="1"/>
  <c r="AI55" i="5" s="1"/>
  <c r="AL55" i="5" s="1"/>
  <c r="AO55" i="5" s="1"/>
  <c r="AR55" i="5" s="1"/>
  <c r="AU55" i="5" s="1"/>
  <c r="AX55" i="5" s="1"/>
  <c r="K55" i="5"/>
  <c r="G55" i="5"/>
  <c r="BJ54" i="5"/>
  <c r="BM54" i="5" s="1"/>
  <c r="BP54" i="5" s="1"/>
  <c r="BS54" i="5" s="1"/>
  <c r="BV54" i="5" s="1"/>
  <c r="BY54" i="5" s="1"/>
  <c r="CB54" i="5" s="1"/>
  <c r="BG54" i="5"/>
  <c r="BD54" i="5"/>
  <c r="T54" i="5"/>
  <c r="W54" i="5" s="1"/>
  <c r="Z54" i="5" s="1"/>
  <c r="AC54" i="5" s="1"/>
  <c r="AF54" i="5" s="1"/>
  <c r="AI54" i="5" s="1"/>
  <c r="AL54" i="5" s="1"/>
  <c r="AO54" i="5" s="1"/>
  <c r="AR54" i="5" s="1"/>
  <c r="AU54" i="5" s="1"/>
  <c r="AX54" i="5" s="1"/>
  <c r="K54" i="5"/>
  <c r="N54" i="5" s="1"/>
  <c r="Q54" i="5" s="1"/>
  <c r="G54" i="5"/>
  <c r="BG53" i="5"/>
  <c r="BJ53" i="5" s="1"/>
  <c r="BM53" i="5" s="1"/>
  <c r="BP53" i="5" s="1"/>
  <c r="BS53" i="5" s="1"/>
  <c r="BV53" i="5" s="1"/>
  <c r="BY53" i="5" s="1"/>
  <c r="CB53" i="5" s="1"/>
  <c r="BD53" i="5"/>
  <c r="T53" i="5"/>
  <c r="W53" i="5" s="1"/>
  <c r="Z53" i="5" s="1"/>
  <c r="AC53" i="5" s="1"/>
  <c r="AF53" i="5" s="1"/>
  <c r="AI53" i="5" s="1"/>
  <c r="AL53" i="5" s="1"/>
  <c r="AO53" i="5" s="1"/>
  <c r="AR53" i="5" s="1"/>
  <c r="AU53" i="5" s="1"/>
  <c r="AX53" i="5" s="1"/>
  <c r="Q53" i="5"/>
  <c r="N53" i="5"/>
  <c r="K53" i="5"/>
  <c r="G53" i="5"/>
  <c r="BG52" i="5"/>
  <c r="BJ52" i="5" s="1"/>
  <c r="BM52" i="5" s="1"/>
  <c r="BP52" i="5" s="1"/>
  <c r="BS52" i="5" s="1"/>
  <c r="BV52" i="5" s="1"/>
  <c r="BY52" i="5" s="1"/>
  <c r="CB52" i="5" s="1"/>
  <c r="BD52" i="5"/>
  <c r="K52" i="5"/>
  <c r="N52" i="5" s="1"/>
  <c r="Q52" i="5" s="1"/>
  <c r="T52" i="5" s="1"/>
  <c r="W52" i="5" s="1"/>
  <c r="Z52" i="5" s="1"/>
  <c r="AC52" i="5" s="1"/>
  <c r="AF52" i="5" s="1"/>
  <c r="AI52" i="5" s="1"/>
  <c r="AL52" i="5" s="1"/>
  <c r="AO52" i="5" s="1"/>
  <c r="AR52" i="5" s="1"/>
  <c r="AU52" i="5" s="1"/>
  <c r="AX52" i="5" s="1"/>
  <c r="G52" i="5"/>
  <c r="BG51" i="5"/>
  <c r="BJ51" i="5" s="1"/>
  <c r="BM51" i="5" s="1"/>
  <c r="BP51" i="5" s="1"/>
  <c r="BS51" i="5" s="1"/>
  <c r="BV51" i="5" s="1"/>
  <c r="BY51" i="5" s="1"/>
  <c r="CB51" i="5" s="1"/>
  <c r="BD51" i="5"/>
  <c r="N51" i="5"/>
  <c r="Q51" i="5" s="1"/>
  <c r="T51" i="5" s="1"/>
  <c r="W51" i="5" s="1"/>
  <c r="Z51" i="5" s="1"/>
  <c r="AC51" i="5" s="1"/>
  <c r="AF51" i="5" s="1"/>
  <c r="AI51" i="5" s="1"/>
  <c r="AL51" i="5" s="1"/>
  <c r="AO51" i="5" s="1"/>
  <c r="AR51" i="5" s="1"/>
  <c r="AU51" i="5" s="1"/>
  <c r="AX51" i="5" s="1"/>
  <c r="K51" i="5"/>
  <c r="G51" i="5"/>
  <c r="BJ50" i="5"/>
  <c r="BM50" i="5" s="1"/>
  <c r="BP50" i="5" s="1"/>
  <c r="BS50" i="5" s="1"/>
  <c r="BV50" i="5" s="1"/>
  <c r="BY50" i="5" s="1"/>
  <c r="CB50" i="5" s="1"/>
  <c r="BG50" i="5"/>
  <c r="BD50" i="5"/>
  <c r="K50" i="5"/>
  <c r="N50" i="5" s="1"/>
  <c r="Q50" i="5" s="1"/>
  <c r="T50" i="5" s="1"/>
  <c r="W50" i="5" s="1"/>
  <c r="Z50" i="5" s="1"/>
  <c r="AC50" i="5" s="1"/>
  <c r="AF50" i="5" s="1"/>
  <c r="AI50" i="5" s="1"/>
  <c r="AL50" i="5" s="1"/>
  <c r="AO50" i="5" s="1"/>
  <c r="AR50" i="5" s="1"/>
  <c r="AU50" i="5" s="1"/>
  <c r="AX50" i="5" s="1"/>
  <c r="G50" i="5"/>
  <c r="BG49" i="5"/>
  <c r="BJ49" i="5" s="1"/>
  <c r="BM49" i="5" s="1"/>
  <c r="BP49" i="5" s="1"/>
  <c r="BS49" i="5" s="1"/>
  <c r="BV49" i="5" s="1"/>
  <c r="BY49" i="5" s="1"/>
  <c r="CB49" i="5" s="1"/>
  <c r="BD49" i="5"/>
  <c r="Q49" i="5"/>
  <c r="T49" i="5" s="1"/>
  <c r="W49" i="5" s="1"/>
  <c r="Z49" i="5" s="1"/>
  <c r="AC49" i="5" s="1"/>
  <c r="AF49" i="5" s="1"/>
  <c r="AI49" i="5" s="1"/>
  <c r="AL49" i="5" s="1"/>
  <c r="AO49" i="5" s="1"/>
  <c r="AR49" i="5" s="1"/>
  <c r="AU49" i="5" s="1"/>
  <c r="AX49" i="5" s="1"/>
  <c r="N49" i="5"/>
  <c r="K49" i="5"/>
  <c r="G49" i="5"/>
  <c r="BG48" i="5"/>
  <c r="BJ48" i="5" s="1"/>
  <c r="BM48" i="5" s="1"/>
  <c r="BP48" i="5" s="1"/>
  <c r="BS48" i="5" s="1"/>
  <c r="BV48" i="5" s="1"/>
  <c r="BY48" i="5" s="1"/>
  <c r="CB48" i="5" s="1"/>
  <c r="BD48" i="5"/>
  <c r="K48" i="5"/>
  <c r="N48" i="5" s="1"/>
  <c r="Q48" i="5" s="1"/>
  <c r="T48" i="5" s="1"/>
  <c r="W48" i="5" s="1"/>
  <c r="Z48" i="5" s="1"/>
  <c r="AC48" i="5" s="1"/>
  <c r="AF48" i="5" s="1"/>
  <c r="AI48" i="5" s="1"/>
  <c r="AL48" i="5" s="1"/>
  <c r="AO48" i="5" s="1"/>
  <c r="AR48" i="5" s="1"/>
  <c r="AU48" i="5" s="1"/>
  <c r="AX48" i="5" s="1"/>
  <c r="G48" i="5"/>
  <c r="BD47" i="5"/>
  <c r="BG47" i="5" s="1"/>
  <c r="BJ47" i="5" s="1"/>
  <c r="BM47" i="5" s="1"/>
  <c r="BP47" i="5" s="1"/>
  <c r="BS47" i="5" s="1"/>
  <c r="BV47" i="5" s="1"/>
  <c r="BY47" i="5" s="1"/>
  <c r="CB47" i="5" s="1"/>
  <c r="K47" i="5"/>
  <c r="N47" i="5" s="1"/>
  <c r="Q47" i="5" s="1"/>
  <c r="T47" i="5" s="1"/>
  <c r="W47" i="5" s="1"/>
  <c r="Z47" i="5" s="1"/>
  <c r="AC47" i="5" s="1"/>
  <c r="AF47" i="5" s="1"/>
  <c r="AI47" i="5" s="1"/>
  <c r="AL47" i="5" s="1"/>
  <c r="AO47" i="5" s="1"/>
  <c r="AR47" i="5" s="1"/>
  <c r="AU47" i="5" s="1"/>
  <c r="AX47" i="5" s="1"/>
  <c r="G47" i="5"/>
  <c r="BP46" i="5"/>
  <c r="BS46" i="5" s="1"/>
  <c r="BV46" i="5" s="1"/>
  <c r="BY46" i="5" s="1"/>
  <c r="CB46" i="5" s="1"/>
  <c r="BJ46" i="5"/>
  <c r="BM46" i="5" s="1"/>
  <c r="BG46" i="5"/>
  <c r="BD46" i="5"/>
  <c r="Q46" i="5"/>
  <c r="T46" i="5" s="1"/>
  <c r="W46" i="5" s="1"/>
  <c r="Z46" i="5" s="1"/>
  <c r="AC46" i="5" s="1"/>
  <c r="AF46" i="5" s="1"/>
  <c r="AI46" i="5" s="1"/>
  <c r="AL46" i="5" s="1"/>
  <c r="AO46" i="5" s="1"/>
  <c r="AR46" i="5" s="1"/>
  <c r="AU46" i="5" s="1"/>
  <c r="AX46" i="5" s="1"/>
  <c r="K46" i="5"/>
  <c r="N46" i="5" s="1"/>
  <c r="G46" i="5"/>
  <c r="BG45" i="5"/>
  <c r="BJ45" i="5" s="1"/>
  <c r="BM45" i="5" s="1"/>
  <c r="BP45" i="5" s="1"/>
  <c r="BS45" i="5" s="1"/>
  <c r="BV45" i="5" s="1"/>
  <c r="BY45" i="5" s="1"/>
  <c r="CB45" i="5" s="1"/>
  <c r="BD45" i="5"/>
  <c r="Q45" i="5"/>
  <c r="T45" i="5" s="1"/>
  <c r="W45" i="5" s="1"/>
  <c r="Z45" i="5" s="1"/>
  <c r="AC45" i="5" s="1"/>
  <c r="AF45" i="5" s="1"/>
  <c r="AI45" i="5" s="1"/>
  <c r="AL45" i="5" s="1"/>
  <c r="AO45" i="5" s="1"/>
  <c r="AR45" i="5" s="1"/>
  <c r="AU45" i="5" s="1"/>
  <c r="AX45" i="5" s="1"/>
  <c r="N45" i="5"/>
  <c r="K45" i="5"/>
  <c r="G45" i="5"/>
  <c r="BJ44" i="5"/>
  <c r="BM44" i="5" s="1"/>
  <c r="BP44" i="5" s="1"/>
  <c r="BS44" i="5" s="1"/>
  <c r="BV44" i="5" s="1"/>
  <c r="BY44" i="5" s="1"/>
  <c r="CB44" i="5" s="1"/>
  <c r="BG44" i="5"/>
  <c r="BD44" i="5"/>
  <c r="K44" i="5"/>
  <c r="N44" i="5" s="1"/>
  <c r="Q44" i="5" s="1"/>
  <c r="T44" i="5" s="1"/>
  <c r="W44" i="5" s="1"/>
  <c r="Z44" i="5" s="1"/>
  <c r="AC44" i="5" s="1"/>
  <c r="AF44" i="5" s="1"/>
  <c r="AI44" i="5" s="1"/>
  <c r="AL44" i="5" s="1"/>
  <c r="AO44" i="5" s="1"/>
  <c r="AR44" i="5" s="1"/>
  <c r="AU44" i="5" s="1"/>
  <c r="AX44" i="5" s="1"/>
  <c r="G44" i="5"/>
  <c r="BD43" i="5"/>
  <c r="BG43" i="5" s="1"/>
  <c r="BJ43" i="5" s="1"/>
  <c r="BM43" i="5" s="1"/>
  <c r="BP43" i="5" s="1"/>
  <c r="BS43" i="5" s="1"/>
  <c r="BV43" i="5" s="1"/>
  <c r="BY43" i="5" s="1"/>
  <c r="CB43" i="5" s="1"/>
  <c r="K43" i="5"/>
  <c r="N43" i="5" s="1"/>
  <c r="Q43" i="5" s="1"/>
  <c r="T43" i="5" s="1"/>
  <c r="W43" i="5" s="1"/>
  <c r="Z43" i="5" s="1"/>
  <c r="AC43" i="5" s="1"/>
  <c r="AF43" i="5" s="1"/>
  <c r="AI43" i="5" s="1"/>
  <c r="AL43" i="5" s="1"/>
  <c r="AO43" i="5" s="1"/>
  <c r="AR43" i="5" s="1"/>
  <c r="AU43" i="5" s="1"/>
  <c r="AX43" i="5" s="1"/>
  <c r="G43" i="5"/>
  <c r="BP42" i="5"/>
  <c r="BS42" i="5" s="1"/>
  <c r="BV42" i="5" s="1"/>
  <c r="BY42" i="5" s="1"/>
  <c r="CB42" i="5" s="1"/>
  <c r="BJ42" i="5"/>
  <c r="BM42" i="5" s="1"/>
  <c r="BG42" i="5"/>
  <c r="BD42" i="5"/>
  <c r="K42" i="5"/>
  <c r="N42" i="5" s="1"/>
  <c r="Q42" i="5" s="1"/>
  <c r="T42" i="5" s="1"/>
  <c r="W42" i="5" s="1"/>
  <c r="Z42" i="5" s="1"/>
  <c r="AC42" i="5" s="1"/>
  <c r="AF42" i="5" s="1"/>
  <c r="AI42" i="5" s="1"/>
  <c r="AL42" i="5" s="1"/>
  <c r="AO42" i="5" s="1"/>
  <c r="AR42" i="5" s="1"/>
  <c r="AU42" i="5" s="1"/>
  <c r="AX42" i="5" s="1"/>
  <c r="G42" i="5"/>
  <c r="BG41" i="5"/>
  <c r="BJ41" i="5" s="1"/>
  <c r="BM41" i="5" s="1"/>
  <c r="BP41" i="5" s="1"/>
  <c r="BS41" i="5" s="1"/>
  <c r="BV41" i="5" s="1"/>
  <c r="BY41" i="5" s="1"/>
  <c r="CB41" i="5" s="1"/>
  <c r="BD41" i="5"/>
  <c r="Q41" i="5"/>
  <c r="T41" i="5" s="1"/>
  <c r="W41" i="5" s="1"/>
  <c r="Z41" i="5" s="1"/>
  <c r="AC41" i="5" s="1"/>
  <c r="AF41" i="5" s="1"/>
  <c r="AI41" i="5" s="1"/>
  <c r="AL41" i="5" s="1"/>
  <c r="AO41" i="5" s="1"/>
  <c r="AR41" i="5" s="1"/>
  <c r="AU41" i="5" s="1"/>
  <c r="AX41" i="5" s="1"/>
  <c r="N41" i="5"/>
  <c r="K41" i="5"/>
  <c r="G41" i="5"/>
  <c r="BS40" i="5"/>
  <c r="BV40" i="5" s="1"/>
  <c r="BY40" i="5" s="1"/>
  <c r="CB40" i="5" s="1"/>
  <c r="BJ40" i="5"/>
  <c r="BM40" i="5" s="1"/>
  <c r="BP40" i="5" s="1"/>
  <c r="BG40" i="5"/>
  <c r="BD40" i="5"/>
  <c r="Q40" i="5"/>
  <c r="T40" i="5" s="1"/>
  <c r="W40" i="5" s="1"/>
  <c r="Z40" i="5" s="1"/>
  <c r="AC40" i="5" s="1"/>
  <c r="AF40" i="5" s="1"/>
  <c r="AI40" i="5" s="1"/>
  <c r="AL40" i="5" s="1"/>
  <c r="AO40" i="5" s="1"/>
  <c r="AR40" i="5" s="1"/>
  <c r="AU40" i="5" s="1"/>
  <c r="AX40" i="5" s="1"/>
  <c r="K40" i="5"/>
  <c r="N40" i="5" s="1"/>
  <c r="G40" i="5"/>
  <c r="BG39" i="5"/>
  <c r="BJ39" i="5" s="1"/>
  <c r="BM39" i="5" s="1"/>
  <c r="BP39" i="5" s="1"/>
  <c r="BS39" i="5" s="1"/>
  <c r="BV39" i="5" s="1"/>
  <c r="BY39" i="5" s="1"/>
  <c r="CB39" i="5" s="1"/>
  <c r="BD39" i="5"/>
  <c r="K39" i="5"/>
  <c r="N39" i="5" s="1"/>
  <c r="Q39" i="5" s="1"/>
  <c r="T39" i="5" s="1"/>
  <c r="W39" i="5" s="1"/>
  <c r="Z39" i="5" s="1"/>
  <c r="AC39" i="5" s="1"/>
  <c r="AF39" i="5" s="1"/>
  <c r="AI39" i="5" s="1"/>
  <c r="AL39" i="5" s="1"/>
  <c r="AO39" i="5" s="1"/>
  <c r="AR39" i="5" s="1"/>
  <c r="AU39" i="5" s="1"/>
  <c r="AX39" i="5" s="1"/>
  <c r="G39" i="5"/>
  <c r="BJ38" i="5"/>
  <c r="BM38" i="5" s="1"/>
  <c r="BP38" i="5" s="1"/>
  <c r="BS38" i="5" s="1"/>
  <c r="BV38" i="5" s="1"/>
  <c r="BY38" i="5" s="1"/>
  <c r="CB38" i="5" s="1"/>
  <c r="BG38" i="5"/>
  <c r="BD38" i="5"/>
  <c r="K38" i="5"/>
  <c r="N38" i="5" s="1"/>
  <c r="Q38" i="5" s="1"/>
  <c r="T38" i="5" s="1"/>
  <c r="W38" i="5" s="1"/>
  <c r="Z38" i="5" s="1"/>
  <c r="AC38" i="5" s="1"/>
  <c r="AF38" i="5" s="1"/>
  <c r="AI38" i="5" s="1"/>
  <c r="AL38" i="5" s="1"/>
  <c r="AO38" i="5" s="1"/>
  <c r="AR38" i="5" s="1"/>
  <c r="AU38" i="5" s="1"/>
  <c r="AX38" i="5" s="1"/>
  <c r="G38" i="5"/>
  <c r="BG37" i="5"/>
  <c r="BJ37" i="5" s="1"/>
  <c r="BM37" i="5" s="1"/>
  <c r="BP37" i="5" s="1"/>
  <c r="BS37" i="5" s="1"/>
  <c r="BV37" i="5" s="1"/>
  <c r="BY37" i="5" s="1"/>
  <c r="CB37" i="5" s="1"/>
  <c r="BD37" i="5"/>
  <c r="Q37" i="5"/>
  <c r="T37" i="5" s="1"/>
  <c r="W37" i="5" s="1"/>
  <c r="Z37" i="5" s="1"/>
  <c r="AC37" i="5" s="1"/>
  <c r="AF37" i="5" s="1"/>
  <c r="AI37" i="5" s="1"/>
  <c r="AL37" i="5" s="1"/>
  <c r="AO37" i="5" s="1"/>
  <c r="AR37" i="5" s="1"/>
  <c r="AU37" i="5" s="1"/>
  <c r="AX37" i="5" s="1"/>
  <c r="N37" i="5"/>
  <c r="K37" i="5"/>
  <c r="G37" i="5"/>
  <c r="BG36" i="5"/>
  <c r="BJ36" i="5" s="1"/>
  <c r="BM36" i="5" s="1"/>
  <c r="BP36" i="5" s="1"/>
  <c r="BS36" i="5" s="1"/>
  <c r="BV36" i="5" s="1"/>
  <c r="BY36" i="5" s="1"/>
  <c r="CB36" i="5" s="1"/>
  <c r="BD36" i="5"/>
  <c r="K36" i="5"/>
  <c r="N36" i="5" s="1"/>
  <c r="Q36" i="5" s="1"/>
  <c r="T36" i="5" s="1"/>
  <c r="W36" i="5" s="1"/>
  <c r="Z36" i="5" s="1"/>
  <c r="AC36" i="5" s="1"/>
  <c r="AF36" i="5" s="1"/>
  <c r="AI36" i="5" s="1"/>
  <c r="AL36" i="5" s="1"/>
  <c r="AO36" i="5" s="1"/>
  <c r="AR36" i="5" s="1"/>
  <c r="AU36" i="5" s="1"/>
  <c r="AX36" i="5" s="1"/>
  <c r="G36" i="5"/>
  <c r="BG35" i="5"/>
  <c r="BJ35" i="5" s="1"/>
  <c r="BM35" i="5" s="1"/>
  <c r="BP35" i="5" s="1"/>
  <c r="BS35" i="5" s="1"/>
  <c r="BV35" i="5" s="1"/>
  <c r="BY35" i="5" s="1"/>
  <c r="CB35" i="5" s="1"/>
  <c r="BD35" i="5"/>
  <c r="K35" i="5"/>
  <c r="N35" i="5" s="1"/>
  <c r="Q35" i="5" s="1"/>
  <c r="T35" i="5" s="1"/>
  <c r="W35" i="5" s="1"/>
  <c r="Z35" i="5" s="1"/>
  <c r="AC35" i="5" s="1"/>
  <c r="AF35" i="5" s="1"/>
  <c r="AI35" i="5" s="1"/>
  <c r="AL35" i="5" s="1"/>
  <c r="AO35" i="5" s="1"/>
  <c r="AR35" i="5" s="1"/>
  <c r="AU35" i="5" s="1"/>
  <c r="AX35" i="5" s="1"/>
  <c r="G35" i="5"/>
  <c r="BP34" i="5"/>
  <c r="BS34" i="5" s="1"/>
  <c r="BV34" i="5" s="1"/>
  <c r="BY34" i="5" s="1"/>
  <c r="CB34" i="5" s="1"/>
  <c r="BJ34" i="5"/>
  <c r="BM34" i="5" s="1"/>
  <c r="BG34" i="5"/>
  <c r="BD34" i="5"/>
  <c r="Q34" i="5"/>
  <c r="T34" i="5" s="1"/>
  <c r="W34" i="5" s="1"/>
  <c r="Z34" i="5" s="1"/>
  <c r="AC34" i="5" s="1"/>
  <c r="AF34" i="5" s="1"/>
  <c r="AI34" i="5" s="1"/>
  <c r="AL34" i="5" s="1"/>
  <c r="AO34" i="5" s="1"/>
  <c r="AR34" i="5" s="1"/>
  <c r="AU34" i="5" s="1"/>
  <c r="AX34" i="5" s="1"/>
  <c r="K34" i="5"/>
  <c r="N34" i="5" s="1"/>
  <c r="G34" i="5"/>
  <c r="BG33" i="5"/>
  <c r="BJ33" i="5" s="1"/>
  <c r="BM33" i="5" s="1"/>
  <c r="BP33" i="5" s="1"/>
  <c r="BS33" i="5" s="1"/>
  <c r="BV33" i="5" s="1"/>
  <c r="BY33" i="5" s="1"/>
  <c r="CB33" i="5" s="1"/>
  <c r="BD33" i="5"/>
  <c r="Q33" i="5"/>
  <c r="T33" i="5" s="1"/>
  <c r="W33" i="5" s="1"/>
  <c r="Z33" i="5" s="1"/>
  <c r="AC33" i="5" s="1"/>
  <c r="AF33" i="5" s="1"/>
  <c r="AI33" i="5" s="1"/>
  <c r="AL33" i="5" s="1"/>
  <c r="AO33" i="5" s="1"/>
  <c r="AR33" i="5" s="1"/>
  <c r="AU33" i="5" s="1"/>
  <c r="AX33" i="5" s="1"/>
  <c r="N33" i="5"/>
  <c r="K33" i="5"/>
  <c r="G33" i="5"/>
  <c r="BJ32" i="5"/>
  <c r="BM32" i="5" s="1"/>
  <c r="BP32" i="5" s="1"/>
  <c r="BS32" i="5" s="1"/>
  <c r="BV32" i="5" s="1"/>
  <c r="BY32" i="5" s="1"/>
  <c r="CB32" i="5" s="1"/>
  <c r="BG32" i="5"/>
  <c r="BD32" i="5"/>
  <c r="K32" i="5"/>
  <c r="N32" i="5" s="1"/>
  <c r="Q32" i="5" s="1"/>
  <c r="T32" i="5" s="1"/>
  <c r="W32" i="5" s="1"/>
  <c r="Z32" i="5" s="1"/>
  <c r="AC32" i="5" s="1"/>
  <c r="AF32" i="5" s="1"/>
  <c r="AI32" i="5" s="1"/>
  <c r="AL32" i="5" s="1"/>
  <c r="AO32" i="5" s="1"/>
  <c r="AR32" i="5" s="1"/>
  <c r="AU32" i="5" s="1"/>
  <c r="AX32" i="5" s="1"/>
  <c r="G32" i="5"/>
  <c r="BJ31" i="5"/>
  <c r="BM31" i="5" s="1"/>
  <c r="BP31" i="5" s="1"/>
  <c r="BS31" i="5" s="1"/>
  <c r="BV31" i="5" s="1"/>
  <c r="BY31" i="5" s="1"/>
  <c r="CB31" i="5" s="1"/>
  <c r="BG31" i="5"/>
  <c r="BD31" i="5"/>
  <c r="K31" i="5"/>
  <c r="N31" i="5" s="1"/>
  <c r="Q31" i="5" s="1"/>
  <c r="T31" i="5" s="1"/>
  <c r="W31" i="5" s="1"/>
  <c r="Z31" i="5" s="1"/>
  <c r="AC31" i="5" s="1"/>
  <c r="AF31" i="5" s="1"/>
  <c r="AI31" i="5" s="1"/>
  <c r="AL31" i="5" s="1"/>
  <c r="AO31" i="5" s="1"/>
  <c r="AR31" i="5" s="1"/>
  <c r="AU31" i="5" s="1"/>
  <c r="AX31" i="5" s="1"/>
  <c r="G31" i="5"/>
  <c r="BJ30" i="5"/>
  <c r="BM30" i="5" s="1"/>
  <c r="BP30" i="5" s="1"/>
  <c r="BS30" i="5" s="1"/>
  <c r="BV30" i="5" s="1"/>
  <c r="BY30" i="5" s="1"/>
  <c r="CB30" i="5" s="1"/>
  <c r="BG30" i="5"/>
  <c r="BD30" i="5"/>
  <c r="K30" i="5"/>
  <c r="N30" i="5" s="1"/>
  <c r="Q30" i="5" s="1"/>
  <c r="T30" i="5" s="1"/>
  <c r="W30" i="5" s="1"/>
  <c r="Z30" i="5" s="1"/>
  <c r="AC30" i="5" s="1"/>
  <c r="AF30" i="5" s="1"/>
  <c r="AI30" i="5" s="1"/>
  <c r="AL30" i="5" s="1"/>
  <c r="AO30" i="5" s="1"/>
  <c r="AR30" i="5" s="1"/>
  <c r="AU30" i="5" s="1"/>
  <c r="AX30" i="5" s="1"/>
  <c r="G30" i="5"/>
  <c r="K29" i="5"/>
  <c r="N29" i="5" s="1"/>
  <c r="Q29" i="5" s="1"/>
  <c r="T29" i="5" s="1"/>
  <c r="W29" i="5" s="1"/>
  <c r="Z29" i="5" s="1"/>
  <c r="AC29" i="5" s="1"/>
  <c r="AF29" i="5" s="1"/>
  <c r="AI29" i="5" s="1"/>
  <c r="AL29" i="5" s="1"/>
  <c r="AO29" i="5" s="1"/>
  <c r="AR29" i="5" s="1"/>
  <c r="AU29" i="5" s="1"/>
  <c r="AX29" i="5" s="1"/>
  <c r="BA29" i="5" s="1"/>
  <c r="BD29" i="5" s="1"/>
  <c r="BG29" i="5" s="1"/>
  <c r="BJ29" i="5" s="1"/>
  <c r="BM29" i="5" s="1"/>
  <c r="BP29" i="5" s="1"/>
  <c r="BS29" i="5" s="1"/>
  <c r="BV29" i="5" s="1"/>
  <c r="BY29" i="5" s="1"/>
  <c r="CB29" i="5" s="1"/>
  <c r="G29" i="5"/>
  <c r="N28" i="5"/>
  <c r="Q28" i="5" s="1"/>
  <c r="T28" i="5" s="1"/>
  <c r="W28" i="5" s="1"/>
  <c r="Z28" i="5" s="1"/>
  <c r="AC28" i="5" s="1"/>
  <c r="AF28" i="5" s="1"/>
  <c r="AI28" i="5" s="1"/>
  <c r="AL28" i="5" s="1"/>
  <c r="AO28" i="5" s="1"/>
  <c r="AR28" i="5" s="1"/>
  <c r="AU28" i="5" s="1"/>
  <c r="AX28" i="5" s="1"/>
  <c r="BA28" i="5" s="1"/>
  <c r="BD28" i="5" s="1"/>
  <c r="BG28" i="5" s="1"/>
  <c r="BJ28" i="5" s="1"/>
  <c r="BM28" i="5" s="1"/>
  <c r="BP28" i="5" s="1"/>
  <c r="BS28" i="5" s="1"/>
  <c r="BV28" i="5" s="1"/>
  <c r="BY28" i="5" s="1"/>
  <c r="CB28" i="5" s="1"/>
  <c r="K28" i="5"/>
  <c r="G28" i="5"/>
  <c r="K27" i="5"/>
  <c r="N27" i="5" s="1"/>
  <c r="Q27" i="5" s="1"/>
  <c r="T27" i="5" s="1"/>
  <c r="W27" i="5" s="1"/>
  <c r="Z27" i="5" s="1"/>
  <c r="AC27" i="5" s="1"/>
  <c r="AF27" i="5" s="1"/>
  <c r="AI27" i="5" s="1"/>
  <c r="AL27" i="5" s="1"/>
  <c r="AO27" i="5" s="1"/>
  <c r="AR27" i="5" s="1"/>
  <c r="AU27" i="5" s="1"/>
  <c r="AX27" i="5" s="1"/>
  <c r="BA27" i="5" s="1"/>
  <c r="BD27" i="5" s="1"/>
  <c r="BG27" i="5" s="1"/>
  <c r="BJ27" i="5" s="1"/>
  <c r="BM27" i="5" s="1"/>
  <c r="BP27" i="5" s="1"/>
  <c r="BS27" i="5" s="1"/>
  <c r="BV27" i="5" s="1"/>
  <c r="BY27" i="5" s="1"/>
  <c r="CB27" i="5" s="1"/>
  <c r="G27" i="5"/>
  <c r="N26" i="5"/>
  <c r="Q26" i="5" s="1"/>
  <c r="T26" i="5" s="1"/>
  <c r="W26" i="5" s="1"/>
  <c r="Z26" i="5" s="1"/>
  <c r="AC26" i="5" s="1"/>
  <c r="AF26" i="5" s="1"/>
  <c r="AI26" i="5" s="1"/>
  <c r="AL26" i="5" s="1"/>
  <c r="AO26" i="5" s="1"/>
  <c r="AR26" i="5" s="1"/>
  <c r="AU26" i="5" s="1"/>
  <c r="AX26" i="5" s="1"/>
  <c r="BA26" i="5" s="1"/>
  <c r="BD26" i="5" s="1"/>
  <c r="BG26" i="5" s="1"/>
  <c r="BJ26" i="5" s="1"/>
  <c r="BM26" i="5" s="1"/>
  <c r="BP26" i="5" s="1"/>
  <c r="BS26" i="5" s="1"/>
  <c r="BV26" i="5" s="1"/>
  <c r="BY26" i="5" s="1"/>
  <c r="CB26" i="5" s="1"/>
  <c r="K26" i="5"/>
  <c r="G26" i="5"/>
  <c r="AF25" i="5"/>
  <c r="AI25" i="5" s="1"/>
  <c r="AL25" i="5" s="1"/>
  <c r="AO25" i="5" s="1"/>
  <c r="AR25" i="5" s="1"/>
  <c r="AU25" i="5" s="1"/>
  <c r="AX25" i="5" s="1"/>
  <c r="BA25" i="5" s="1"/>
  <c r="BD25" i="5" s="1"/>
  <c r="BG25" i="5" s="1"/>
  <c r="BJ25" i="5" s="1"/>
  <c r="BM25" i="5" s="1"/>
  <c r="BP25" i="5" s="1"/>
  <c r="BS25" i="5" s="1"/>
  <c r="BV25" i="5" s="1"/>
  <c r="BY25" i="5" s="1"/>
  <c r="CB25" i="5" s="1"/>
  <c r="K25" i="5"/>
  <c r="N25" i="5" s="1"/>
  <c r="Q25" i="5" s="1"/>
  <c r="T25" i="5" s="1"/>
  <c r="W25" i="5" s="1"/>
  <c r="Z25" i="5" s="1"/>
  <c r="AC25" i="5" s="1"/>
  <c r="G25" i="5"/>
  <c r="K24" i="5"/>
  <c r="N24" i="5" s="1"/>
  <c r="Q24" i="5" s="1"/>
  <c r="T24" i="5" s="1"/>
  <c r="W24" i="5" s="1"/>
  <c r="Z24" i="5" s="1"/>
  <c r="AC24" i="5" s="1"/>
  <c r="AF24" i="5" s="1"/>
  <c r="AI24" i="5" s="1"/>
  <c r="AL24" i="5" s="1"/>
  <c r="AO24" i="5" s="1"/>
  <c r="AR24" i="5" s="1"/>
  <c r="AU24" i="5" s="1"/>
  <c r="AX24" i="5" s="1"/>
  <c r="BA24" i="5" s="1"/>
  <c r="BD24" i="5" s="1"/>
  <c r="BG24" i="5" s="1"/>
  <c r="BJ24" i="5" s="1"/>
  <c r="BM24" i="5" s="1"/>
  <c r="BP24" i="5" s="1"/>
  <c r="BS24" i="5" s="1"/>
  <c r="BV24" i="5" s="1"/>
  <c r="BY24" i="5" s="1"/>
  <c r="CB24" i="5" s="1"/>
  <c r="G24" i="5"/>
  <c r="N23" i="5"/>
  <c r="Q23" i="5" s="1"/>
  <c r="T23" i="5" s="1"/>
  <c r="W23" i="5" s="1"/>
  <c r="Z23" i="5" s="1"/>
  <c r="AC23" i="5" s="1"/>
  <c r="AF23" i="5" s="1"/>
  <c r="AI23" i="5" s="1"/>
  <c r="AL23" i="5" s="1"/>
  <c r="AO23" i="5" s="1"/>
  <c r="AR23" i="5" s="1"/>
  <c r="AU23" i="5" s="1"/>
  <c r="AX23" i="5" s="1"/>
  <c r="BA23" i="5" s="1"/>
  <c r="BD23" i="5" s="1"/>
  <c r="BG23" i="5" s="1"/>
  <c r="BJ23" i="5" s="1"/>
  <c r="BM23" i="5" s="1"/>
  <c r="BP23" i="5" s="1"/>
  <c r="BS23" i="5" s="1"/>
  <c r="BV23" i="5" s="1"/>
  <c r="BY23" i="5" s="1"/>
  <c r="CB23" i="5" s="1"/>
  <c r="K23" i="5"/>
  <c r="G23" i="5"/>
  <c r="N22" i="5"/>
  <c r="Q22" i="5" s="1"/>
  <c r="T22" i="5" s="1"/>
  <c r="W22" i="5" s="1"/>
  <c r="Z22" i="5" s="1"/>
  <c r="AC22" i="5" s="1"/>
  <c r="AF22" i="5" s="1"/>
  <c r="AI22" i="5" s="1"/>
  <c r="AL22" i="5" s="1"/>
  <c r="AO22" i="5" s="1"/>
  <c r="AR22" i="5" s="1"/>
  <c r="AU22" i="5" s="1"/>
  <c r="AX22" i="5" s="1"/>
  <c r="BA22" i="5" s="1"/>
  <c r="BD22" i="5" s="1"/>
  <c r="BG22" i="5" s="1"/>
  <c r="BJ22" i="5" s="1"/>
  <c r="BM22" i="5" s="1"/>
  <c r="BP22" i="5" s="1"/>
  <c r="BS22" i="5" s="1"/>
  <c r="BV22" i="5" s="1"/>
  <c r="BY22" i="5" s="1"/>
  <c r="CB22" i="5" s="1"/>
  <c r="K22" i="5"/>
  <c r="G22" i="5"/>
  <c r="K21" i="5"/>
  <c r="N21" i="5" s="1"/>
  <c r="Q21" i="5" s="1"/>
  <c r="T21" i="5" s="1"/>
  <c r="W21" i="5" s="1"/>
  <c r="Z21" i="5" s="1"/>
  <c r="AC21" i="5" s="1"/>
  <c r="AF21" i="5" s="1"/>
  <c r="AI21" i="5" s="1"/>
  <c r="AL21" i="5" s="1"/>
  <c r="AO21" i="5" s="1"/>
  <c r="AR21" i="5" s="1"/>
  <c r="AU21" i="5" s="1"/>
  <c r="AX21" i="5" s="1"/>
  <c r="BA21" i="5" s="1"/>
  <c r="BD21" i="5" s="1"/>
  <c r="BG21" i="5" s="1"/>
  <c r="BJ21" i="5" s="1"/>
  <c r="BM21" i="5" s="1"/>
  <c r="BP21" i="5" s="1"/>
  <c r="BS21" i="5" s="1"/>
  <c r="BV21" i="5" s="1"/>
  <c r="BY21" i="5" s="1"/>
  <c r="CB21" i="5" s="1"/>
  <c r="G21" i="5"/>
  <c r="N20" i="5"/>
  <c r="Q20" i="5" s="1"/>
  <c r="T20" i="5" s="1"/>
  <c r="W20" i="5" s="1"/>
  <c r="Z20" i="5" s="1"/>
  <c r="AC20" i="5" s="1"/>
  <c r="AF20" i="5" s="1"/>
  <c r="AI20" i="5" s="1"/>
  <c r="AL20" i="5" s="1"/>
  <c r="AO20" i="5" s="1"/>
  <c r="AR20" i="5" s="1"/>
  <c r="AU20" i="5" s="1"/>
  <c r="AX20" i="5" s="1"/>
  <c r="BA20" i="5" s="1"/>
  <c r="BD20" i="5" s="1"/>
  <c r="BG20" i="5" s="1"/>
  <c r="BJ20" i="5" s="1"/>
  <c r="BM20" i="5" s="1"/>
  <c r="BP20" i="5" s="1"/>
  <c r="BS20" i="5" s="1"/>
  <c r="BV20" i="5" s="1"/>
  <c r="BY20" i="5" s="1"/>
  <c r="CB20" i="5" s="1"/>
  <c r="K20" i="5"/>
  <c r="G20" i="5"/>
  <c r="N19" i="5"/>
  <c r="Q19" i="5" s="1"/>
  <c r="T19" i="5" s="1"/>
  <c r="W19" i="5" s="1"/>
  <c r="Z19" i="5" s="1"/>
  <c r="AC19" i="5" s="1"/>
  <c r="AF19" i="5" s="1"/>
  <c r="AI19" i="5" s="1"/>
  <c r="AL19" i="5" s="1"/>
  <c r="AO19" i="5" s="1"/>
  <c r="AR19" i="5" s="1"/>
  <c r="AU19" i="5" s="1"/>
  <c r="AX19" i="5" s="1"/>
  <c r="BA19" i="5" s="1"/>
  <c r="BD19" i="5" s="1"/>
  <c r="BG19" i="5" s="1"/>
  <c r="BJ19" i="5" s="1"/>
  <c r="BM19" i="5" s="1"/>
  <c r="BP19" i="5" s="1"/>
  <c r="BS19" i="5" s="1"/>
  <c r="BV19" i="5" s="1"/>
  <c r="BY19" i="5" s="1"/>
  <c r="CB19" i="5" s="1"/>
  <c r="K19" i="5"/>
  <c r="G19" i="5"/>
  <c r="AI18" i="5"/>
  <c r="AL18" i="5" s="1"/>
  <c r="AO18" i="5" s="1"/>
  <c r="AR18" i="5" s="1"/>
  <c r="AU18" i="5" s="1"/>
  <c r="AX18" i="5" s="1"/>
  <c r="BA18" i="5" s="1"/>
  <c r="BD18" i="5" s="1"/>
  <c r="BG18" i="5" s="1"/>
  <c r="BJ18" i="5" s="1"/>
  <c r="BM18" i="5" s="1"/>
  <c r="BP18" i="5" s="1"/>
  <c r="BS18" i="5" s="1"/>
  <c r="BV18" i="5" s="1"/>
  <c r="BY18" i="5" s="1"/>
  <c r="CB18" i="5" s="1"/>
  <c r="N18" i="5"/>
  <c r="Q18" i="5" s="1"/>
  <c r="T18" i="5" s="1"/>
  <c r="W18" i="5" s="1"/>
  <c r="Z18" i="5" s="1"/>
  <c r="AC18" i="5" s="1"/>
  <c r="AF18" i="5" s="1"/>
  <c r="K18" i="5"/>
  <c r="G18" i="5"/>
  <c r="N17" i="5"/>
  <c r="Q17" i="5" s="1"/>
  <c r="T17" i="5" s="1"/>
  <c r="W17" i="5" s="1"/>
  <c r="Z17" i="5" s="1"/>
  <c r="AC17" i="5" s="1"/>
  <c r="AF17" i="5" s="1"/>
  <c r="AI17" i="5" s="1"/>
  <c r="AL17" i="5" s="1"/>
  <c r="AO17" i="5" s="1"/>
  <c r="AR17" i="5" s="1"/>
  <c r="AU17" i="5" s="1"/>
  <c r="AX17" i="5" s="1"/>
  <c r="BA17" i="5" s="1"/>
  <c r="BD17" i="5" s="1"/>
  <c r="BG17" i="5" s="1"/>
  <c r="BJ17" i="5" s="1"/>
  <c r="BM17" i="5" s="1"/>
  <c r="BP17" i="5" s="1"/>
  <c r="BS17" i="5" s="1"/>
  <c r="BV17" i="5" s="1"/>
  <c r="BY17" i="5" s="1"/>
  <c r="CB17" i="5" s="1"/>
  <c r="K17" i="5"/>
  <c r="G17" i="5"/>
  <c r="K16" i="5"/>
  <c r="N16" i="5" s="1"/>
  <c r="Q16" i="5" s="1"/>
  <c r="T16" i="5" s="1"/>
  <c r="W16" i="5" s="1"/>
  <c r="Z16" i="5" s="1"/>
  <c r="AC16" i="5" s="1"/>
  <c r="AF16" i="5" s="1"/>
  <c r="AI16" i="5" s="1"/>
  <c r="AL16" i="5" s="1"/>
  <c r="AO16" i="5" s="1"/>
  <c r="AR16" i="5" s="1"/>
  <c r="AU16" i="5" s="1"/>
  <c r="AX16" i="5" s="1"/>
  <c r="BA16" i="5" s="1"/>
  <c r="BD16" i="5" s="1"/>
  <c r="BG16" i="5" s="1"/>
  <c r="BJ16" i="5" s="1"/>
  <c r="BM16" i="5" s="1"/>
  <c r="BP16" i="5" s="1"/>
  <c r="BS16" i="5" s="1"/>
  <c r="BV16" i="5" s="1"/>
  <c r="BY16" i="5" s="1"/>
  <c r="CB16" i="5" s="1"/>
  <c r="G16" i="5"/>
  <c r="N15" i="5"/>
  <c r="Q15" i="5" s="1"/>
  <c r="T15" i="5" s="1"/>
  <c r="W15" i="5" s="1"/>
  <c r="Z15" i="5" s="1"/>
  <c r="AC15" i="5" s="1"/>
  <c r="AF15" i="5" s="1"/>
  <c r="AI15" i="5" s="1"/>
  <c r="AL15" i="5" s="1"/>
  <c r="AO15" i="5" s="1"/>
  <c r="AR15" i="5" s="1"/>
  <c r="AU15" i="5" s="1"/>
  <c r="AX15" i="5" s="1"/>
  <c r="BA15" i="5" s="1"/>
  <c r="BD15" i="5" s="1"/>
  <c r="BG15" i="5" s="1"/>
  <c r="BJ15" i="5" s="1"/>
  <c r="BM15" i="5" s="1"/>
  <c r="BP15" i="5" s="1"/>
  <c r="BS15" i="5" s="1"/>
  <c r="BV15" i="5" s="1"/>
  <c r="BY15" i="5" s="1"/>
  <c r="CB15" i="5" s="1"/>
  <c r="K15" i="5"/>
  <c r="G15" i="5"/>
  <c r="K14" i="5"/>
  <c r="N14" i="5" s="1"/>
  <c r="Q14" i="5" s="1"/>
  <c r="T14" i="5" s="1"/>
  <c r="W14" i="5" s="1"/>
  <c r="Z14" i="5" s="1"/>
  <c r="AC14" i="5" s="1"/>
  <c r="AF14" i="5" s="1"/>
  <c r="AI14" i="5" s="1"/>
  <c r="AL14" i="5" s="1"/>
  <c r="AO14" i="5" s="1"/>
  <c r="AR14" i="5" s="1"/>
  <c r="AU14" i="5" s="1"/>
  <c r="AX14" i="5" s="1"/>
  <c r="BA14" i="5" s="1"/>
  <c r="BD14" i="5" s="1"/>
  <c r="BG14" i="5" s="1"/>
  <c r="BJ14" i="5" s="1"/>
  <c r="BM14" i="5" s="1"/>
  <c r="BP14" i="5" s="1"/>
  <c r="BS14" i="5" s="1"/>
  <c r="BV14" i="5" s="1"/>
  <c r="BY14" i="5" s="1"/>
  <c r="CB14" i="5" s="1"/>
  <c r="G14" i="5"/>
  <c r="Q13" i="5"/>
  <c r="T13" i="5" s="1"/>
  <c r="W13" i="5" s="1"/>
  <c r="Z13" i="5" s="1"/>
  <c r="AC13" i="5" s="1"/>
  <c r="AF13" i="5" s="1"/>
  <c r="AI13" i="5" s="1"/>
  <c r="AL13" i="5" s="1"/>
  <c r="AO13" i="5" s="1"/>
  <c r="AR13" i="5" s="1"/>
  <c r="AU13" i="5" s="1"/>
  <c r="AX13" i="5" s="1"/>
  <c r="BA13" i="5" s="1"/>
  <c r="BD13" i="5" s="1"/>
  <c r="BG13" i="5" s="1"/>
  <c r="BJ13" i="5" s="1"/>
  <c r="BM13" i="5" s="1"/>
  <c r="BP13" i="5" s="1"/>
  <c r="BS13" i="5" s="1"/>
  <c r="BV13" i="5" s="1"/>
  <c r="BY13" i="5" s="1"/>
  <c r="CB13" i="5" s="1"/>
  <c r="K13" i="5"/>
  <c r="G13" i="5"/>
  <c r="N12" i="5"/>
  <c r="Q12" i="5" s="1"/>
  <c r="T12" i="5" s="1"/>
  <c r="W12" i="5" s="1"/>
  <c r="Z12" i="5" s="1"/>
  <c r="AC12" i="5" s="1"/>
  <c r="AF12" i="5" s="1"/>
  <c r="AI12" i="5" s="1"/>
  <c r="AL12" i="5" s="1"/>
  <c r="AO12" i="5" s="1"/>
  <c r="AR12" i="5" s="1"/>
  <c r="AU12" i="5" s="1"/>
  <c r="AX12" i="5" s="1"/>
  <c r="BA12" i="5" s="1"/>
  <c r="BD12" i="5" s="1"/>
  <c r="BG12" i="5" s="1"/>
  <c r="BJ12" i="5" s="1"/>
  <c r="BM12" i="5" s="1"/>
  <c r="BP12" i="5" s="1"/>
  <c r="BS12" i="5" s="1"/>
  <c r="BV12" i="5" s="1"/>
  <c r="BY12" i="5" s="1"/>
  <c r="CB12" i="5" s="1"/>
  <c r="K12" i="5"/>
  <c r="G12" i="5"/>
  <c r="Q11" i="5"/>
  <c r="T11" i="5" s="1"/>
  <c r="W11" i="5" s="1"/>
  <c r="Z11" i="5" s="1"/>
  <c r="AC11" i="5" s="1"/>
  <c r="AF11" i="5" s="1"/>
  <c r="AI11" i="5" s="1"/>
  <c r="AL11" i="5" s="1"/>
  <c r="AO11" i="5" s="1"/>
  <c r="AR11" i="5" s="1"/>
  <c r="AU11" i="5" s="1"/>
  <c r="AX11" i="5" s="1"/>
  <c r="BA11" i="5" s="1"/>
  <c r="BD11" i="5" s="1"/>
  <c r="BG11" i="5" s="1"/>
  <c r="BJ11" i="5" s="1"/>
  <c r="BM11" i="5" s="1"/>
  <c r="BP11" i="5" s="1"/>
  <c r="BS11" i="5" s="1"/>
  <c r="BV11" i="5" s="1"/>
  <c r="BY11" i="5" s="1"/>
  <c r="CB11" i="5" s="1"/>
  <c r="G11" i="5"/>
  <c r="K10" i="5"/>
  <c r="N10" i="5" s="1"/>
  <c r="Q10" i="5" s="1"/>
  <c r="T10" i="5" s="1"/>
  <c r="W10" i="5" s="1"/>
  <c r="Z10" i="5" s="1"/>
  <c r="AC10" i="5" s="1"/>
  <c r="AF10" i="5" s="1"/>
  <c r="AI10" i="5" s="1"/>
  <c r="AL10" i="5" s="1"/>
  <c r="AO10" i="5" s="1"/>
  <c r="AR10" i="5" s="1"/>
  <c r="AU10" i="5" s="1"/>
  <c r="AX10" i="5" s="1"/>
  <c r="BA10" i="5" s="1"/>
  <c r="BD10" i="5" s="1"/>
  <c r="BG10" i="5" s="1"/>
  <c r="BJ10" i="5" s="1"/>
  <c r="BM10" i="5" s="1"/>
  <c r="BP10" i="5" s="1"/>
  <c r="BS10" i="5" s="1"/>
  <c r="BV10" i="5" s="1"/>
  <c r="BY10" i="5" s="1"/>
  <c r="CB10" i="5" s="1"/>
  <c r="G10" i="5"/>
  <c r="K9" i="5"/>
  <c r="N9" i="5" s="1"/>
  <c r="Q9" i="5" s="1"/>
  <c r="T9" i="5" s="1"/>
  <c r="W9" i="5" s="1"/>
  <c r="Z9" i="5" s="1"/>
  <c r="AC9" i="5" s="1"/>
  <c r="AF9" i="5" s="1"/>
  <c r="AI9" i="5" s="1"/>
  <c r="AL9" i="5" s="1"/>
  <c r="AO9" i="5" s="1"/>
  <c r="AR9" i="5" s="1"/>
  <c r="AU9" i="5" s="1"/>
  <c r="AX9" i="5" s="1"/>
  <c r="BA9" i="5" s="1"/>
  <c r="BD9" i="5" s="1"/>
  <c r="BG9" i="5" s="1"/>
  <c r="BJ9" i="5" s="1"/>
  <c r="BM9" i="5" s="1"/>
  <c r="BP9" i="5" s="1"/>
  <c r="BS9" i="5" s="1"/>
  <c r="BV9" i="5" s="1"/>
  <c r="BY9" i="5" s="1"/>
  <c r="CB9" i="5" s="1"/>
  <c r="G9" i="5"/>
  <c r="N8" i="5"/>
  <c r="Q8" i="5" s="1"/>
  <c r="T8" i="5" s="1"/>
  <c r="W8" i="5" s="1"/>
  <c r="Z8" i="5" s="1"/>
  <c r="AC8" i="5" s="1"/>
  <c r="AF8" i="5" s="1"/>
  <c r="AI8" i="5" s="1"/>
  <c r="AL8" i="5" s="1"/>
  <c r="AO8" i="5" s="1"/>
  <c r="AR8" i="5" s="1"/>
  <c r="AU8" i="5" s="1"/>
  <c r="AX8" i="5" s="1"/>
  <c r="BA8" i="5" s="1"/>
  <c r="BD8" i="5" s="1"/>
  <c r="BG8" i="5" s="1"/>
  <c r="BJ8" i="5" s="1"/>
  <c r="BM8" i="5" s="1"/>
  <c r="BP8" i="5" s="1"/>
  <c r="BS8" i="5" s="1"/>
  <c r="BV8" i="5" s="1"/>
  <c r="BY8" i="5" s="1"/>
  <c r="CB8" i="5" s="1"/>
  <c r="K8" i="5"/>
  <c r="G8" i="5"/>
  <c r="N7" i="5"/>
  <c r="Q7" i="5" s="1"/>
  <c r="T7" i="5" s="1"/>
  <c r="W7" i="5" s="1"/>
  <c r="Z7" i="5" s="1"/>
  <c r="AC7" i="5" s="1"/>
  <c r="AF7" i="5" s="1"/>
  <c r="AI7" i="5" s="1"/>
  <c r="AL7" i="5" s="1"/>
  <c r="AO7" i="5" s="1"/>
  <c r="AR7" i="5" s="1"/>
  <c r="AU7" i="5" s="1"/>
  <c r="AX7" i="5" s="1"/>
  <c r="BA7" i="5" s="1"/>
  <c r="BD7" i="5" s="1"/>
  <c r="BG7" i="5" s="1"/>
  <c r="BJ7" i="5" s="1"/>
  <c r="BM7" i="5" s="1"/>
  <c r="BP7" i="5" s="1"/>
  <c r="BS7" i="5" s="1"/>
  <c r="BV7" i="5" s="1"/>
  <c r="BY7" i="5" s="1"/>
  <c r="CB7" i="5" s="1"/>
  <c r="K7" i="5"/>
  <c r="G7" i="5"/>
  <c r="N6" i="5"/>
  <c r="Q6" i="5" s="1"/>
  <c r="T6" i="5" s="1"/>
  <c r="W6" i="5" s="1"/>
  <c r="Z6" i="5" s="1"/>
  <c r="AC6" i="5" s="1"/>
  <c r="AF6" i="5" s="1"/>
  <c r="AI6" i="5" s="1"/>
  <c r="AL6" i="5" s="1"/>
  <c r="AO6" i="5" s="1"/>
  <c r="AR6" i="5" s="1"/>
  <c r="AU6" i="5" s="1"/>
  <c r="AX6" i="5" s="1"/>
  <c r="BA6" i="5" s="1"/>
  <c r="BD6" i="5" s="1"/>
  <c r="BG6" i="5" s="1"/>
  <c r="BJ6" i="5" s="1"/>
  <c r="BM6" i="5" s="1"/>
  <c r="BP6" i="5" s="1"/>
  <c r="BS6" i="5" s="1"/>
  <c r="BV6" i="5" s="1"/>
  <c r="BY6" i="5" s="1"/>
  <c r="CB6" i="5" s="1"/>
  <c r="K6" i="5"/>
  <c r="G6" i="5"/>
  <c r="K5" i="5"/>
  <c r="N5" i="5" s="1"/>
  <c r="Q5" i="5" s="1"/>
  <c r="T5" i="5" s="1"/>
  <c r="W5" i="5" s="1"/>
  <c r="Z5" i="5" s="1"/>
  <c r="AC5" i="5" s="1"/>
  <c r="AF5" i="5" s="1"/>
  <c r="AI5" i="5" s="1"/>
  <c r="AL5" i="5" s="1"/>
  <c r="AO5" i="5" s="1"/>
  <c r="AR5" i="5" s="1"/>
  <c r="AU5" i="5" s="1"/>
  <c r="AX5" i="5" s="1"/>
  <c r="BA5" i="5" s="1"/>
  <c r="G5" i="5"/>
  <c r="BG4" i="5"/>
  <c r="BJ4" i="5" s="1"/>
  <c r="BD4" i="5"/>
  <c r="N4" i="5"/>
  <c r="Q4" i="5" s="1"/>
  <c r="T4" i="5" s="1"/>
  <c r="W4" i="5" s="1"/>
  <c r="Z4" i="5" s="1"/>
  <c r="AC4" i="5" s="1"/>
  <c r="AF4" i="5" s="1"/>
  <c r="AI4" i="5" s="1"/>
  <c r="AL4" i="5" s="1"/>
  <c r="AO4" i="5" s="1"/>
  <c r="AR4" i="5" s="1"/>
  <c r="AU4" i="5" s="1"/>
  <c r="AX4" i="5" s="1"/>
  <c r="K4" i="5"/>
  <c r="BC1" i="5"/>
  <c r="BF1" i="5" s="1"/>
  <c r="BI1" i="5" s="1"/>
  <c r="BL1" i="5" s="1"/>
  <c r="BO1" i="5" s="1"/>
  <c r="BR1" i="5" s="1"/>
  <c r="BU1" i="5" s="1"/>
  <c r="BX1" i="5" s="1"/>
  <c r="CA1" i="5" s="1"/>
  <c r="AT1" i="5"/>
  <c r="AW1" i="5" s="1"/>
  <c r="AZ1" i="5" s="1"/>
  <c r="C32" i="4"/>
  <c r="C31" i="4"/>
  <c r="C30" i="4"/>
  <c r="C29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B5" i="4"/>
  <c r="B4" i="4"/>
  <c r="B3" i="4"/>
  <c r="B2" i="4"/>
  <c r="P25" i="2"/>
  <c r="I25" i="2"/>
  <c r="G25" i="2"/>
  <c r="Q24" i="2"/>
  <c r="P24" i="2"/>
  <c r="I24" i="2"/>
  <c r="G24" i="2"/>
  <c r="Q23" i="2"/>
  <c r="P23" i="2"/>
  <c r="I23" i="2"/>
  <c r="G23" i="2"/>
  <c r="P22" i="2"/>
  <c r="I22" i="2"/>
  <c r="G22" i="2"/>
  <c r="Q21" i="2"/>
  <c r="P21" i="2"/>
  <c r="I21" i="2"/>
  <c r="G21" i="2"/>
  <c r="Q20" i="2"/>
  <c r="P20" i="2"/>
  <c r="I20" i="2"/>
  <c r="G20" i="2"/>
  <c r="P19" i="2"/>
  <c r="J19" i="2"/>
  <c r="I19" i="2"/>
  <c r="G19" i="2"/>
  <c r="Q18" i="2"/>
  <c r="P18" i="2"/>
  <c r="I18" i="2"/>
  <c r="G18" i="2"/>
  <c r="Q17" i="2"/>
  <c r="P17" i="2"/>
  <c r="I17" i="2"/>
  <c r="G17" i="2"/>
  <c r="P16" i="2"/>
  <c r="I16" i="2"/>
  <c r="G16" i="2"/>
  <c r="Q15" i="2"/>
  <c r="P15" i="2"/>
  <c r="I15" i="2"/>
  <c r="G15" i="2"/>
  <c r="Q14" i="2"/>
  <c r="P14" i="2"/>
  <c r="I14" i="2"/>
  <c r="G14" i="2"/>
  <c r="C8" i="2" s="1"/>
  <c r="Q6" i="2"/>
  <c r="Q25" i="2" s="1"/>
  <c r="J6" i="2"/>
  <c r="D3" i="2"/>
  <c r="E2" i="2"/>
  <c r="P9" i="2" s="1"/>
  <c r="I13" i="2" l="1"/>
  <c r="I8" i="2"/>
  <c r="Q8" i="2"/>
  <c r="I9" i="2"/>
  <c r="Q9" i="2"/>
  <c r="P10" i="2"/>
  <c r="I10" i="2"/>
  <c r="I11" i="2"/>
  <c r="Q12" i="2"/>
  <c r="P11" i="2"/>
  <c r="Q11" i="2"/>
  <c r="J13" i="2"/>
  <c r="P8" i="2"/>
  <c r="I12" i="2"/>
  <c r="D2" i="2"/>
  <c r="P12" i="2"/>
  <c r="BA72" i="5"/>
  <c r="BD5" i="5"/>
  <c r="BG5" i="5" s="1"/>
  <c r="BJ5" i="5" s="1"/>
  <c r="BM5" i="5" s="1"/>
  <c r="BP5" i="5" s="1"/>
  <c r="BS5" i="5" s="1"/>
  <c r="BV5" i="5" s="1"/>
  <c r="BY5" i="5" s="1"/>
  <c r="CB5" i="5" s="1"/>
  <c r="J8" i="2"/>
  <c r="J24" i="2"/>
  <c r="J20" i="2"/>
  <c r="J16" i="2"/>
  <c r="J21" i="2"/>
  <c r="J15" i="2"/>
  <c r="J25" i="2"/>
  <c r="J18" i="2"/>
  <c r="J12" i="2"/>
  <c r="J9" i="2"/>
  <c r="J22" i="2"/>
  <c r="J17" i="2"/>
  <c r="J10" i="2"/>
  <c r="J23" i="2"/>
  <c r="J14" i="2"/>
  <c r="B6" i="4"/>
  <c r="C2" i="4" s="1"/>
  <c r="K6" i="2"/>
  <c r="J11" i="2"/>
  <c r="BJ72" i="5"/>
  <c r="BM4" i="5"/>
  <c r="BD72" i="5"/>
  <c r="BG72" i="5"/>
  <c r="R6" i="2"/>
  <c r="Q13" i="2"/>
  <c r="Q16" i="2"/>
  <c r="Q10" i="2"/>
  <c r="Q19" i="2"/>
  <c r="Q22" i="2"/>
  <c r="P13" i="2"/>
  <c r="C4" i="4" l="1"/>
  <c r="BM72" i="5"/>
  <c r="BP4" i="5"/>
  <c r="C3" i="4"/>
  <c r="C6" i="4" s="1"/>
  <c r="K18" i="2"/>
  <c r="K12" i="2"/>
  <c r="K9" i="2"/>
  <c r="K10" i="2"/>
  <c r="K15" i="2"/>
  <c r="K25" i="2"/>
  <c r="K22" i="2"/>
  <c r="K19" i="2"/>
  <c r="K23" i="2"/>
  <c r="K17" i="2"/>
  <c r="K21" i="2"/>
  <c r="K8" i="2"/>
  <c r="K20" i="2"/>
  <c r="K16" i="2"/>
  <c r="K14" i="2"/>
  <c r="L6" i="2"/>
  <c r="K13" i="2"/>
  <c r="K24" i="2"/>
  <c r="K11" i="2"/>
  <c r="R25" i="2"/>
  <c r="R19" i="2"/>
  <c r="R10" i="2"/>
  <c r="R16" i="2"/>
  <c r="R13" i="2"/>
  <c r="S6" i="2"/>
  <c r="R23" i="2"/>
  <c r="R12" i="2"/>
  <c r="R14" i="2"/>
  <c r="R9" i="2"/>
  <c r="R20" i="2"/>
  <c r="R18" i="2"/>
  <c r="R11" i="2"/>
  <c r="R24" i="2"/>
  <c r="R22" i="2"/>
  <c r="R21" i="2"/>
  <c r="R15" i="2"/>
  <c r="R17" i="2"/>
  <c r="R8" i="2"/>
  <c r="C5" i="4"/>
  <c r="L12" i="2" l="1"/>
  <c r="L24" i="2"/>
  <c r="L15" i="2"/>
  <c r="L13" i="2"/>
  <c r="L10" i="2"/>
  <c r="L25" i="2"/>
  <c r="L22" i="2"/>
  <c r="L19" i="2"/>
  <c r="L16" i="2"/>
  <c r="L21" i="2"/>
  <c r="L8" i="2"/>
  <c r="L20" i="2"/>
  <c r="L14" i="2"/>
  <c r="L18" i="2"/>
  <c r="L17" i="2"/>
  <c r="L11" i="2"/>
  <c r="L23" i="2"/>
  <c r="M6" i="2"/>
  <c r="L9" i="2"/>
  <c r="BS4" i="5"/>
  <c r="BP72" i="5"/>
  <c r="S25" i="2"/>
  <c r="S21" i="2"/>
  <c r="S17" i="2"/>
  <c r="S13" i="2"/>
  <c r="S16" i="2"/>
  <c r="T6" i="2"/>
  <c r="S23" i="2"/>
  <c r="S20" i="2"/>
  <c r="S11" i="2"/>
  <c r="S10" i="2"/>
  <c r="S12" i="2"/>
  <c r="S14" i="2"/>
  <c r="S18" i="2"/>
  <c r="S22" i="2"/>
  <c r="S9" i="2"/>
  <c r="S24" i="2"/>
  <c r="S19" i="2"/>
  <c r="S15" i="2"/>
  <c r="S8" i="2"/>
  <c r="T10" i="2" l="1"/>
  <c r="T22" i="2"/>
  <c r="T18" i="2"/>
  <c r="W18" i="2" s="1"/>
  <c r="T14" i="2"/>
  <c r="W14" i="2" s="1"/>
  <c r="T16" i="2"/>
  <c r="U6" i="2"/>
  <c r="V6" i="2" s="1"/>
  <c r="T11" i="2"/>
  <c r="T13" i="2"/>
  <c r="T23" i="2"/>
  <c r="T17" i="2"/>
  <c r="W17" i="2" s="1"/>
  <c r="T8" i="2"/>
  <c r="T20" i="2"/>
  <c r="T12" i="2"/>
  <c r="T24" i="2"/>
  <c r="T9" i="2"/>
  <c r="T25" i="2"/>
  <c r="T19" i="2"/>
  <c r="T15" i="2"/>
  <c r="T21" i="2"/>
  <c r="W21" i="2" s="1"/>
  <c r="M24" i="2"/>
  <c r="M20" i="2"/>
  <c r="M16" i="2"/>
  <c r="M10" i="2"/>
  <c r="M13" i="2"/>
  <c r="M25" i="2"/>
  <c r="W25" i="2" s="1"/>
  <c r="M22" i="2"/>
  <c r="W22" i="2" s="1"/>
  <c r="M19" i="2"/>
  <c r="M8" i="2"/>
  <c r="M18" i="2"/>
  <c r="M12" i="2"/>
  <c r="W12" i="2" s="1"/>
  <c r="M14" i="2"/>
  <c r="N6" i="2"/>
  <c r="O6" i="2" s="1"/>
  <c r="M9" i="2"/>
  <c r="M11" i="2"/>
  <c r="M17" i="2"/>
  <c r="M15" i="2"/>
  <c r="W15" i="2" s="1"/>
  <c r="M23" i="2"/>
  <c r="M21" i="2"/>
  <c r="W23" i="2"/>
  <c r="BV4" i="5"/>
  <c r="BS72" i="5"/>
  <c r="W11" i="2" l="1"/>
  <c r="W9" i="2"/>
  <c r="W10" i="2"/>
  <c r="W8" i="2"/>
  <c r="W13" i="2"/>
  <c r="W16" i="2"/>
  <c r="W24" i="2"/>
  <c r="BY4" i="5"/>
  <c r="BV72" i="5"/>
  <c r="W19" i="2"/>
  <c r="W20" i="2"/>
  <c r="C9" i="2" l="1"/>
  <c r="C10" i="2" s="1"/>
  <c r="CB4" i="5"/>
  <c r="CB72" i="5" s="1"/>
  <c r="BY72" i="5"/>
</calcChain>
</file>

<file path=xl/sharedStrings.xml><?xml version="1.0" encoding="utf-8"?>
<sst xmlns="http://schemas.openxmlformats.org/spreadsheetml/2006/main" count="476" uniqueCount="163">
  <si>
    <t>Sprint Vision:</t>
  </si>
  <si>
    <t>Cesar</t>
  </si>
  <si>
    <t>Phone</t>
  </si>
  <si>
    <t>Mobile</t>
  </si>
  <si>
    <t>Alt Email</t>
  </si>
  <si>
    <t>IM Information</t>
  </si>
  <si>
    <t>Unassigned</t>
  </si>
  <si>
    <t>Current Date</t>
  </si>
  <si>
    <t>Sprint Start Date</t>
  </si>
  <si>
    <t>Sprint Tracking Statistics</t>
  </si>
  <si>
    <t>Productive Hours =</t>
  </si>
  <si>
    <t>Sprint Days =</t>
  </si>
  <si>
    <t>Scrum Team</t>
  </si>
  <si>
    <t>%age of time on Project</t>
  </si>
  <si>
    <t>Assigned Hours</t>
  </si>
  <si>
    <t>Total Remaining Hours:</t>
  </si>
  <si>
    <t>Total Capacity in Hours:</t>
  </si>
  <si>
    <t>Variance in Hours:</t>
  </si>
  <si>
    <t>v</t>
  </si>
  <si>
    <t>=</t>
  </si>
  <si>
    <t>Vacation &amp; Public Holiday</t>
  </si>
  <si>
    <t>h</t>
  </si>
  <si>
    <t>OOF (Sick, Biz Travel etc.)</t>
  </si>
  <si>
    <t>Work Type Breakdown</t>
  </si>
  <si>
    <t>Feature</t>
  </si>
  <si>
    <t>Tax</t>
  </si>
  <si>
    <t>Precondition</t>
  </si>
  <si>
    <t>Spike</t>
  </si>
  <si>
    <t>Total</t>
  </si>
  <si>
    <t>Functional Breakdown</t>
  </si>
  <si>
    <t>Day 13</t>
  </si>
  <si>
    <t>Day 14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</si>
  <si>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</si>
  <si>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</si>
  <si>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</si>
  <si>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</si>
  <si>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</si>
  <si>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</si>
  <si>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</si>
  <si>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</si>
  <si>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</si>
  <si>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</si>
  <si>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Spent</t>
  </si>
  <si>
    <t>Left</t>
  </si>
  <si>
    <t>Total Effort</t>
  </si>
  <si>
    <t>Sprint Team</t>
  </si>
  <si>
    <t>Name</t>
  </si>
  <si>
    <t>Alias</t>
  </si>
  <si>
    <t>Primary Phone</t>
  </si>
  <si>
    <t>Mobile Phone</t>
  </si>
  <si>
    <t>Alternate Email</t>
  </si>
  <si>
    <t>Instant Messaging</t>
  </si>
  <si>
    <t>Diego</t>
  </si>
  <si>
    <t>DIE</t>
  </si>
  <si>
    <t>-</t>
  </si>
  <si>
    <t>diego@equipo.com</t>
  </si>
  <si>
    <t>Teams</t>
  </si>
  <si>
    <t>Irma</t>
  </si>
  <si>
    <t>IRM</t>
  </si>
  <si>
    <t>irma@equipo.com</t>
  </si>
  <si>
    <t>Integrante 3</t>
  </si>
  <si>
    <t>INT3</t>
  </si>
  <si>
    <t>int3@equipo.com</t>
  </si>
  <si>
    <t>Integrante 4</t>
  </si>
  <si>
    <t>INT4</t>
  </si>
  <si>
    <t>int4@equipo.com</t>
  </si>
  <si>
    <t>Scrum Master</t>
  </si>
  <si>
    <t>SM</t>
  </si>
  <si>
    <t>sm@equipo.com</t>
  </si>
  <si>
    <t>Product Owner</t>
  </si>
  <si>
    <t>PO</t>
  </si>
  <si>
    <t>po@equipo.com</t>
  </si>
  <si>
    <t>F</t>
  </si>
  <si>
    <t>M</t>
  </si>
  <si>
    <t>T</t>
  </si>
  <si>
    <t>W</t>
  </si>
  <si>
    <t>Available Hours</t>
  </si>
  <si>
    <t>Actividad 12 / Diccionario</t>
  </si>
  <si>
    <t>Lectura de archivo</t>
  </si>
  <si>
    <t>Búsqueda de tokens</t>
  </si>
  <si>
    <t>Pruebas</t>
  </si>
  <si>
    <t>Documentación</t>
  </si>
  <si>
    <t>Revisión Scrum</t>
  </si>
  <si>
    <t>Work Item Status</t>
  </si>
  <si>
    <t>Cantidad</t>
  </si>
  <si>
    <t>Porcentaje</t>
  </si>
  <si>
    <t>Complete</t>
  </si>
  <si>
    <t>In Progress</t>
  </si>
  <si>
    <t>Pending</t>
  </si>
  <si>
    <t>Postponed</t>
  </si>
  <si>
    <t>Cancelled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</si>
  <si>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</si>
  <si>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</si>
  <si>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</si>
  <si>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</si>
  <si>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</si>
  <si>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</si>
  <si>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</si>
  <si>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</si>
  <si>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</si>
  <si>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</si>
  <si>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</si>
  <si>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</si>
  <si>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</si>
  <si>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Worktype</t>
  </si>
  <si>
    <t>Deliverable Area</t>
  </si>
  <si>
    <t>Product Backlog Item or Group</t>
  </si>
  <si>
    <t>Work item
ID</t>
  </si>
  <si>
    <t>Sprint Work item Description</t>
  </si>
  <si>
    <t>Driver</t>
  </si>
  <si>
    <t>Status</t>
  </si>
  <si>
    <t>Pri</t>
  </si>
  <si>
    <t>Initial</t>
  </si>
  <si>
    <t>Estado</t>
  </si>
  <si>
    <t>Diccionario de tokens</t>
  </si>
  <si>
    <t>A12-001</t>
  </si>
  <si>
    <t>Leer archivo diccionario generado en actividad anterior</t>
  </si>
  <si>
    <t>A12-002</t>
  </si>
  <si>
    <t>Validar formato index;key;numdocs;start</t>
  </si>
  <si>
    <t>A12-003</t>
  </si>
  <si>
    <t>Implementar búsqueda por palabra exacta</t>
  </si>
  <si>
    <t>A12-004</t>
  </si>
  <si>
    <t>Implementar cálculo/hash para localizar índice</t>
  </si>
  <si>
    <t>A12-005</t>
  </si>
  <si>
    <t>Mostrar numdocs y posición start del token encontrado</t>
  </si>
  <si>
    <t>A12-006</t>
  </si>
  <si>
    <t>Probar búsqueda con palabras existentes</t>
  </si>
  <si>
    <t>A12-007</t>
  </si>
  <si>
    <t>Probar búsqueda con palabras inexistentes</t>
  </si>
  <si>
    <t>Entrega</t>
  </si>
  <si>
    <t>A12-008</t>
  </si>
  <si>
    <t>Documentar uso del programa y capturas de ejecución</t>
  </si>
  <si>
    <t>A12-009</t>
  </si>
  <si>
    <t>Revisar manejo de errores de archivo no encontrado</t>
  </si>
  <si>
    <t>Scrum</t>
  </si>
  <si>
    <t>A12-010</t>
  </si>
  <si>
    <t>Actualizar plantilla con 11 sprints concluidos</t>
  </si>
  <si>
    <t>A12-011</t>
  </si>
  <si>
    <t>Agregar sprint actual de Actividad 12</t>
  </si>
  <si>
    <t>A12-012</t>
  </si>
  <si>
    <t>Identificar perfil del burn down chart</t>
  </si>
  <si>
    <t>Sprint</t>
  </si>
  <si>
    <t>Actividad / Entregable</t>
  </si>
  <si>
    <t>Horas iniciales</t>
  </si>
  <si>
    <t>Horas terminadas</t>
  </si>
  <si>
    <t>Observaciones</t>
  </si>
  <si>
    <t>Actividad 1</t>
  </si>
  <si>
    <t>Concluido</t>
  </si>
  <si>
    <t>Sprint cerrado</t>
  </si>
  <si>
    <t>Actividad 2</t>
  </si>
  <si>
    <t>Actividad 3</t>
  </si>
  <si>
    <t>Actividad 4</t>
  </si>
  <si>
    <t>Actividad 5</t>
  </si>
  <si>
    <t>Actividad 6</t>
  </si>
  <si>
    <t>Actividad 7</t>
  </si>
  <si>
    <t>Actividad 8</t>
  </si>
  <si>
    <t>Actividad 9</t>
  </si>
  <si>
    <t>Actividad 10</t>
  </si>
  <si>
    <t>Actividad 11</t>
  </si>
  <si>
    <t>Actividad 12 - Diccionario de tokens</t>
  </si>
  <si>
    <t>Sprint actual mostrado</t>
  </si>
  <si>
    <t>Perfil burn down: avance tardío / hockey stick</t>
  </si>
  <si>
    <t xml:space="preserve">Actividad 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</si>
</sst>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\-mmm\-yy;@"/>
    <numFmt numFmtId="165" formatCode="0.0"/>
    <numFmt numFmtId="166" formatCode="0_);[Red]\(0\)"/>
    <numFmt numFmtId="167" formatCode="dd"/>
    <numFmt numFmtId="168" formatCode="ddd"/>
    <numFmt numFmtId="169" formatCode="[$-F800]dddd\,\ mmmm\ dd\,\ yyyy"/>
    <numFmt numFmtId="170" formatCode="yyyy\-mm\-dd"/>
    <numFmt numFmtId="171" formatCode="dd\-mmm"/>
  </numFmts>
  <fonts count="42" x14ac:knownFonts="1">
    <font>
      <sz val="10"/>
      <name val="Arial"/>
    </font>
    <font>
      <sz val="10"/>
      <color indexed="12"/>
      <name val="Arial"/>
    </font>
    <font>
      <sz val="10"/>
      <name val="Arial"/>
    </font>
    <font>
      <sz val="11"/>
      <color indexed="9"/>
      <name val="Calibri"/>
    </font>
    <font>
      <sz val="11"/>
      <color indexed="8"/>
      <name val="Calibri"/>
    </font>
    <font>
      <sz val="11"/>
      <color indexed="16"/>
      <name val="Calibri"/>
    </font>
    <font>
      <b/>
      <sz val="11"/>
      <color indexed="53"/>
      <name val="Calibri"/>
    </font>
    <font>
      <b/>
      <sz val="11"/>
      <color indexed="9"/>
      <name val="Calibri"/>
    </font>
    <font>
      <b/>
      <sz val="11"/>
      <color indexed="8"/>
      <name val="Calibri"/>
    </font>
    <font>
      <sz val="11"/>
      <color indexed="17"/>
      <name val="Calibri"/>
    </font>
    <font>
      <b/>
      <sz val="15"/>
      <color indexed="62"/>
      <name val="Calibri"/>
    </font>
    <font>
      <b/>
      <sz val="13"/>
      <color indexed="62"/>
      <name val="Calibri"/>
    </font>
    <font>
      <b/>
      <sz val="11"/>
      <color indexed="62"/>
      <name val="Calibri"/>
    </font>
    <font>
      <sz val="11"/>
      <color indexed="62"/>
      <name val="Calibri"/>
    </font>
    <font>
      <sz val="11"/>
      <color indexed="53"/>
      <name val="Calibri"/>
    </font>
    <font>
      <sz val="11"/>
      <color indexed="60"/>
      <name val="Calibri"/>
    </font>
    <font>
      <b/>
      <sz val="11"/>
      <color indexed="63"/>
      <name val="Calibri"/>
    </font>
    <font>
      <b/>
      <sz val="18"/>
      <color indexed="62"/>
      <name val="Cambria"/>
    </font>
    <font>
      <sz val="11"/>
      <color indexed="10"/>
      <name val="Calibri"/>
    </font>
    <font>
      <sz val="8"/>
      <name val="Tahoma"/>
    </font>
    <font>
      <sz val="8"/>
      <color indexed="9"/>
      <name val="Tahoma"/>
    </font>
    <font>
      <sz val="10"/>
      <color indexed="15"/>
      <name val="Tahoma"/>
    </font>
    <font>
      <sz val="6"/>
      <color indexed="9"/>
      <name val="Tahoma"/>
    </font>
    <font>
      <sz val="10"/>
      <name val="Tahoma"/>
    </font>
    <font>
      <sz val="10"/>
      <color indexed="12"/>
      <name val="Tahoma"/>
    </font>
    <font>
      <sz val="6"/>
      <name val="Tahoma"/>
    </font>
    <font>
      <sz val="8"/>
      <color indexed="22"/>
      <name val="Tahoma"/>
    </font>
    <font>
      <b/>
      <sz val="8"/>
      <color indexed="9"/>
      <name val="Tahoma"/>
    </font>
    <font>
      <sz val="8"/>
      <color indexed="23"/>
      <name val="Tahoma"/>
    </font>
    <font>
      <b/>
      <sz val="8"/>
      <color indexed="23"/>
      <name val="Tahoma"/>
    </font>
    <font>
      <sz val="10"/>
      <color indexed="9"/>
      <name val="Tahoma"/>
    </font>
    <font>
      <b/>
      <sz val="8"/>
      <name val="Tahoma"/>
    </font>
    <font>
      <sz val="10"/>
      <color indexed="8"/>
      <name val="Tahoma"/>
    </font>
    <font>
      <b/>
      <sz val="12"/>
      <color indexed="9"/>
      <name val="Tahoma"/>
    </font>
    <font>
      <b/>
      <sz val="10"/>
      <name val="Tahoma"/>
    </font>
    <font>
      <sz val="10"/>
      <color indexed="22"/>
      <name val="Tahoma"/>
    </font>
    <font>
      <sz val="6"/>
      <color indexed="22"/>
      <name val="Tahoma"/>
    </font>
    <font>
      <b/>
      <sz val="10"/>
      <name val="Arial"/>
    </font>
    <font>
      <b/>
      <sz val="8"/>
      <color rgb="FFFFFFFF"/>
      <name val="Tahoma"/>
    </font>
    <font>
      <b/>
      <sz val="12"/>
      <name val="Tahoma"/>
    </font>
    <font>
      <b/>
      <sz val="10"/>
      <color rgb="FFFFFFFF"/>
      <name val="Arial"/>
    </font>
    <font>
      <b/>
      <sz val="11"/>
      <color rgb="FFFFFFFF"/>
      <name val="Calibri"/>
    </font>
  </fonts>
  <fills count="33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2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9"/>
      </patternFill>
    </fill>
    <fill>
      <patternFill patternType="solid">
        <fgColor indexed="27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8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lightGray">
        <fgColor indexed="9"/>
        <bgColor indexed="22"/>
      </patternFill>
    </fill>
    <fill>
      <patternFill patternType="lightGray">
        <fgColor indexed="9"/>
        <bgColor indexed="9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12"/>
      </left>
      <right style="thin">
        <color indexed="23"/>
      </right>
      <top style="thick">
        <color indexed="12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ck">
        <color indexed="12"/>
      </top>
      <bottom style="double">
        <color indexed="8"/>
      </bottom>
      <diagonal/>
    </border>
    <border>
      <left/>
      <right style="thin">
        <color indexed="23"/>
      </right>
      <top style="thick">
        <color indexed="12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ck">
        <color indexed="12"/>
      </top>
      <bottom style="double">
        <color indexed="64"/>
      </bottom>
      <diagonal/>
    </border>
    <border>
      <left/>
      <right style="thick">
        <color indexed="12"/>
      </right>
      <top style="thick">
        <color indexed="12"/>
      </top>
      <bottom style="double">
        <color indexed="64"/>
      </bottom>
      <diagonal/>
    </border>
    <border>
      <left style="thick">
        <color indexed="12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ck">
        <color indexed="12"/>
      </right>
      <top/>
      <bottom/>
      <diagonal/>
    </border>
    <border>
      <left style="thick">
        <color indexed="12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ck">
        <color indexed="12"/>
      </left>
      <right style="thin">
        <color indexed="23"/>
      </right>
      <top/>
      <bottom style="thick">
        <color indexed="12"/>
      </bottom>
      <diagonal/>
    </border>
    <border>
      <left/>
      <right style="thin">
        <color indexed="23"/>
      </right>
      <top/>
      <bottom style="thick">
        <color indexed="12"/>
      </bottom>
      <diagonal/>
    </border>
    <border>
      <left style="thin">
        <color indexed="23"/>
      </left>
      <right style="thin">
        <color indexed="23"/>
      </right>
      <top/>
      <bottom style="thick">
        <color indexed="12"/>
      </bottom>
      <diagonal/>
    </border>
    <border>
      <left/>
      <right style="thick">
        <color indexed="12"/>
      </right>
      <top/>
      <bottom style="thick">
        <color indexed="1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4" fillId="6" borderId="0" applyNumberFormat="0" applyBorder="0" applyAlignment="0" applyProtection="0"/>
    <xf numFmtId="0" fontId="4" fillId="13" borderId="0" applyNumberFormat="0" applyBorder="0" applyAlignment="0" applyProtection="0"/>
    <xf numFmtId="0" fontId="3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1" applyNumberFormat="0" applyAlignment="0" applyProtection="0"/>
    <xf numFmtId="0" fontId="7" fillId="8" borderId="2" applyNumberFormat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</xf>
    <xf numFmtId="0" fontId="13" fillId="13" borderId="1" applyNumberFormat="0" applyAlignment="0" applyProtection="0"/>
    <xf numFmtId="0" fontId="14" fillId="0" borderId="6" applyNumberFormat="0" applyFill="0" applyAlignment="0" applyProtection="0"/>
    <xf numFmtId="0" fontId="15" fillId="19" borderId="0" applyNumberFormat="0" applyBorder="0" applyAlignment="0" applyProtection="0"/>
    <xf numFmtId="0" fontId="2" fillId="6" borderId="7" applyNumberFormat="0" applyFont="0" applyAlignment="0" applyProtection="0"/>
    <xf numFmtId="0" fontId="16" fillId="15" borderId="8" applyNumberFormat="0" applyAlignment="0" applyProtection="0"/>
    <xf numFmtId="0" fontId="1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4" fillId="0" borderId="0"/>
  </cellStyleXfs>
  <cellXfs count="192">
    <xf numFmtId="0" fontId="0" fillId="0" borderId="0" xfId="0"/>
    <xf numFmtId="0" fontId="20" fillId="20" borderId="0" xfId="0" applyFont="1" applyFill="1"/>
    <xf numFmtId="0" fontId="21" fillId="20" borderId="0" xfId="36" applyFont="1" applyFill="1" applyAlignment="1"/>
    <xf numFmtId="0" fontId="22" fillId="20" borderId="0" xfId="0" applyFont="1" applyFill="1" applyAlignment="1">
      <alignment horizontal="right"/>
    </xf>
    <xf numFmtId="164" fontId="23" fillId="20" borderId="0" xfId="0" applyNumberFormat="1" applyFont="1" applyFill="1" applyAlignment="1">
      <alignment horizontal="center" vertical="center"/>
    </xf>
    <xf numFmtId="0" fontId="23" fillId="0" borderId="0" xfId="0" applyFont="1"/>
    <xf numFmtId="0" fontId="24" fillId="20" borderId="0" xfId="36" applyFont="1" applyFill="1" applyAlignment="1"/>
    <xf numFmtId="0" fontId="22" fillId="20" borderId="0" xfId="0" applyFont="1" applyFill="1"/>
    <xf numFmtId="164" fontId="25" fillId="20" borderId="0" xfId="0" applyNumberFormat="1" applyFont="1" applyFill="1"/>
    <xf numFmtId="164" fontId="20" fillId="20" borderId="0" xfId="0" applyNumberFormat="1" applyFont="1" applyFill="1" applyAlignment="1">
      <alignment horizontal="center" vertical="center"/>
    </xf>
    <xf numFmtId="49" fontId="20" fillId="20" borderId="0" xfId="0" applyNumberFormat="1" applyFont="1" applyFill="1" applyAlignment="1">
      <alignment horizontal="left" vertical="top"/>
    </xf>
    <xf numFmtId="0" fontId="20" fillId="20" borderId="0" xfId="0" applyFont="1" applyFill="1" applyAlignment="1">
      <alignment horizontal="left" vertical="top"/>
    </xf>
    <xf numFmtId="49" fontId="20" fillId="20" borderId="0" xfId="0" applyNumberFormat="1" applyFont="1" applyFill="1" applyAlignment="1">
      <alignment vertical="top" wrapText="1"/>
    </xf>
    <xf numFmtId="49" fontId="19" fillId="0" borderId="10" xfId="0" applyNumberFormat="1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21" borderId="12" xfId="0" applyFont="1" applyFill="1" applyBorder="1" applyAlignment="1">
      <alignment horizontal="center"/>
    </xf>
    <xf numFmtId="49" fontId="22" fillId="0" borderId="0" xfId="0" applyNumberFormat="1" applyFont="1"/>
    <xf numFmtId="165" fontId="19" fillId="0" borderId="0" xfId="0" applyNumberFormat="1" applyFont="1"/>
    <xf numFmtId="1" fontId="19" fillId="0" borderId="13" xfId="0" applyNumberFormat="1" applyFont="1" applyBorder="1"/>
    <xf numFmtId="0" fontId="19" fillId="22" borderId="0" xfId="0" applyFont="1" applyFill="1"/>
    <xf numFmtId="49" fontId="20" fillId="0" borderId="0" xfId="0" applyNumberFormat="1" applyFont="1"/>
    <xf numFmtId="0" fontId="26" fillId="23" borderId="0" xfId="0" applyFont="1" applyFill="1"/>
    <xf numFmtId="1" fontId="27" fillId="20" borderId="0" xfId="0" applyNumberFormat="1" applyFont="1" applyFill="1"/>
    <xf numFmtId="0" fontId="19" fillId="20" borderId="0" xfId="0" applyFont="1" applyFill="1"/>
    <xf numFmtId="0" fontId="19" fillId="23" borderId="0" xfId="0" applyFont="1" applyFill="1"/>
    <xf numFmtId="1" fontId="20" fillId="20" borderId="0" xfId="0" applyNumberFormat="1" applyFont="1" applyFill="1"/>
    <xf numFmtId="0" fontId="20" fillId="23" borderId="0" xfId="0" applyFont="1" applyFill="1" applyAlignment="1">
      <alignment horizontal="left"/>
    </xf>
    <xf numFmtId="9" fontId="19" fillId="20" borderId="0" xfId="0" applyNumberFormat="1" applyFont="1" applyFill="1"/>
    <xf numFmtId="0" fontId="28" fillId="20" borderId="0" xfId="0" applyFont="1" applyFill="1"/>
    <xf numFmtId="9" fontId="20" fillId="20" borderId="0" xfId="0" applyNumberFormat="1" applyFont="1" applyFill="1"/>
    <xf numFmtId="0" fontId="29" fillId="20" borderId="0" xfId="0" applyFont="1" applyFill="1"/>
    <xf numFmtId="0" fontId="28" fillId="23" borderId="0" xfId="0" applyFont="1" applyFill="1"/>
    <xf numFmtId="14" fontId="28" fillId="20" borderId="0" xfId="0" applyNumberFormat="1" applyFont="1" applyFill="1"/>
    <xf numFmtId="1" fontId="19" fillId="20" borderId="0" xfId="0" applyNumberFormat="1" applyFont="1" applyFill="1"/>
    <xf numFmtId="0" fontId="30" fillId="20" borderId="0" xfId="0" applyFont="1" applyFill="1"/>
    <xf numFmtId="0" fontId="23" fillId="21" borderId="0" xfId="0" applyFont="1" applyFill="1"/>
    <xf numFmtId="0" fontId="19" fillId="21" borderId="0" xfId="0" applyFont="1" applyFill="1"/>
    <xf numFmtId="0" fontId="31" fillId="21" borderId="14" xfId="0" applyFont="1" applyFill="1" applyBorder="1"/>
    <xf numFmtId="0" fontId="19" fillId="21" borderId="15" xfId="0" applyFont="1" applyFill="1" applyBorder="1"/>
    <xf numFmtId="0" fontId="23" fillId="21" borderId="15" xfId="0" applyFont="1" applyFill="1" applyBorder="1"/>
    <xf numFmtId="169" fontId="23" fillId="24" borderId="16" xfId="0" applyNumberFormat="1" applyFont="1" applyFill="1" applyBorder="1"/>
    <xf numFmtId="0" fontId="31" fillId="21" borderId="17" xfId="0" applyFont="1" applyFill="1" applyBorder="1"/>
    <xf numFmtId="0" fontId="19" fillId="21" borderId="18" xfId="0" applyFont="1" applyFill="1" applyBorder="1"/>
    <xf numFmtId="169" fontId="23" fillId="21" borderId="18" xfId="0" applyNumberFormat="1" applyFont="1" applyFill="1" applyBorder="1"/>
    <xf numFmtId="14" fontId="23" fillId="21" borderId="0" xfId="0" applyNumberFormat="1" applyFont="1" applyFill="1"/>
    <xf numFmtId="0" fontId="32" fillId="21" borderId="0" xfId="0" applyFont="1" applyFill="1" applyAlignment="1">
      <alignment horizontal="center"/>
    </xf>
    <xf numFmtId="0" fontId="33" fillId="21" borderId="20" xfId="0" applyFont="1" applyFill="1" applyBorder="1" applyAlignment="1">
      <alignment horizontal="center"/>
    </xf>
    <xf numFmtId="0" fontId="23" fillId="21" borderId="21" xfId="0" applyFont="1" applyFill="1" applyBorder="1"/>
    <xf numFmtId="0" fontId="30" fillId="21" borderId="21" xfId="0" applyFont="1" applyFill="1" applyBorder="1"/>
    <xf numFmtId="0" fontId="30" fillId="21" borderId="20" xfId="0" applyFont="1" applyFill="1" applyBorder="1"/>
    <xf numFmtId="0" fontId="30" fillId="21" borderId="22" xfId="0" applyFont="1" applyFill="1" applyBorder="1"/>
    <xf numFmtId="49" fontId="34" fillId="21" borderId="23" xfId="0" applyNumberFormat="1" applyFont="1" applyFill="1" applyBorder="1" applyAlignment="1">
      <alignment horizontal="left" vertical="top" wrapText="1"/>
    </xf>
    <xf numFmtId="0" fontId="23" fillId="21" borderId="0" xfId="0" applyFont="1" applyFill="1" applyAlignment="1">
      <alignment horizontal="center" vertical="top" wrapText="1"/>
    </xf>
    <xf numFmtId="0" fontId="19" fillId="21" borderId="0" xfId="0" applyFont="1" applyFill="1" applyAlignment="1">
      <alignment vertical="top" wrapText="1"/>
    </xf>
    <xf numFmtId="0" fontId="23" fillId="21" borderId="0" xfId="0" applyFont="1" applyFill="1" applyAlignment="1">
      <alignment wrapText="1"/>
    </xf>
    <xf numFmtId="165" fontId="34" fillId="21" borderId="24" xfId="0" applyNumberFormat="1" applyFont="1" applyFill="1" applyBorder="1" applyAlignment="1">
      <alignment horizontal="center" wrapText="1"/>
    </xf>
    <xf numFmtId="167" fontId="23" fillId="25" borderId="26" xfId="0" applyNumberFormat="1" applyFont="1" applyFill="1" applyBorder="1" applyAlignment="1">
      <alignment horizontal="center"/>
    </xf>
    <xf numFmtId="49" fontId="23" fillId="21" borderId="23" xfId="0" applyNumberFormat="1" applyFont="1" applyFill="1" applyBorder="1" applyAlignment="1">
      <alignment horizontal="left" vertical="top" wrapText="1"/>
    </xf>
    <xf numFmtId="0" fontId="23" fillId="21" borderId="0" xfId="0" applyFont="1" applyFill="1" applyAlignment="1">
      <alignment vertical="top" wrapText="1"/>
    </xf>
    <xf numFmtId="0" fontId="31" fillId="21" borderId="0" xfId="0" applyFont="1" applyFill="1" applyAlignment="1">
      <alignment horizontal="center" wrapText="1"/>
    </xf>
    <xf numFmtId="0" fontId="31" fillId="21" borderId="24" xfId="0" applyFont="1" applyFill="1" applyBorder="1" applyAlignment="1">
      <alignment horizontal="center" wrapText="1"/>
    </xf>
    <xf numFmtId="0" fontId="23" fillId="25" borderId="28" xfId="0" applyFont="1" applyFill="1" applyBorder="1" applyAlignment="1">
      <alignment horizontal="center"/>
    </xf>
    <xf numFmtId="0" fontId="23" fillId="25" borderId="29" xfId="0" applyFont="1" applyFill="1" applyBorder="1" applyAlignment="1">
      <alignment horizontal="center"/>
    </xf>
    <xf numFmtId="49" fontId="34" fillId="21" borderId="30" xfId="0" applyNumberFormat="1" applyFont="1" applyFill="1" applyBorder="1" applyAlignment="1">
      <alignment horizontal="left" vertical="top" wrapText="1"/>
    </xf>
    <xf numFmtId="166" fontId="23" fillId="21" borderId="11" xfId="0" applyNumberFormat="1" applyFont="1" applyFill="1" applyBorder="1" applyAlignment="1">
      <alignment horizontal="center" vertical="top" wrapText="1"/>
    </xf>
    <xf numFmtId="1" fontId="19" fillId="21" borderId="0" xfId="0" applyNumberFormat="1" applyFont="1" applyFill="1" applyAlignment="1">
      <alignment horizontal="left" vertical="top" wrapText="1"/>
    </xf>
    <xf numFmtId="0" fontId="19" fillId="21" borderId="31" xfId="0" applyFont="1" applyFill="1" applyBorder="1" applyAlignment="1">
      <alignment horizontal="center"/>
    </xf>
    <xf numFmtId="9" fontId="23" fillId="21" borderId="31" xfId="0" applyNumberFormat="1" applyFont="1" applyFill="1" applyBorder="1" applyAlignment="1">
      <alignment horizontal="center"/>
    </xf>
    <xf numFmtId="165" fontId="23" fillId="21" borderId="31" xfId="0" applyNumberFormat="1" applyFont="1" applyFill="1" applyBorder="1" applyAlignment="1">
      <alignment horizontal="center"/>
    </xf>
    <xf numFmtId="165" fontId="23" fillId="21" borderId="32" xfId="0" applyNumberFormat="1" applyFont="1" applyFill="1" applyBorder="1"/>
    <xf numFmtId="0" fontId="23" fillId="26" borderId="33" xfId="0" applyFont="1" applyFill="1" applyBorder="1" applyAlignment="1">
      <alignment horizontal="center"/>
    </xf>
    <xf numFmtId="0" fontId="23" fillId="26" borderId="16" xfId="0" applyFont="1" applyFill="1" applyBorder="1" applyAlignment="1">
      <alignment horizontal="center"/>
    </xf>
    <xf numFmtId="49" fontId="23" fillId="21" borderId="30" xfId="0" applyNumberFormat="1" applyFont="1" applyFill="1" applyBorder="1" applyAlignment="1">
      <alignment horizontal="left" vertical="top" wrapText="1"/>
    </xf>
    <xf numFmtId="9" fontId="19" fillId="21" borderId="0" xfId="0" applyNumberFormat="1" applyFont="1" applyFill="1" applyAlignment="1">
      <alignment horizontal="left" vertical="top" wrapText="1"/>
    </xf>
    <xf numFmtId="9" fontId="23" fillId="21" borderId="12" xfId="0" applyNumberFormat="1" applyFont="1" applyFill="1" applyBorder="1" applyAlignment="1">
      <alignment horizontal="center"/>
    </xf>
    <xf numFmtId="0" fontId="23" fillId="21" borderId="30" xfId="0" applyFont="1" applyFill="1" applyBorder="1" applyAlignment="1">
      <alignment horizontal="center"/>
    </xf>
    <xf numFmtId="0" fontId="23" fillId="21" borderId="11" xfId="0" applyFont="1" applyFill="1" applyBorder="1" applyAlignment="1">
      <alignment horizontal="center"/>
    </xf>
    <xf numFmtId="0" fontId="23" fillId="26" borderId="34" xfId="0" applyFont="1" applyFill="1" applyBorder="1" applyAlignment="1">
      <alignment horizontal="center"/>
    </xf>
    <xf numFmtId="0" fontId="23" fillId="26" borderId="35" xfId="0" applyFont="1" applyFill="1" applyBorder="1" applyAlignment="1">
      <alignment horizontal="center"/>
    </xf>
    <xf numFmtId="49" fontId="23" fillId="25" borderId="30" xfId="0" applyNumberFormat="1" applyFont="1" applyFill="1" applyBorder="1" applyAlignment="1">
      <alignment horizontal="left" vertical="top" wrapText="1"/>
    </xf>
    <xf numFmtId="166" fontId="23" fillId="25" borderId="11" xfId="0" applyNumberFormat="1" applyFont="1" applyFill="1" applyBorder="1" applyAlignment="1">
      <alignment horizontal="center" vertical="top" wrapText="1"/>
    </xf>
    <xf numFmtId="0" fontId="23" fillId="21" borderId="23" xfId="0" applyFont="1" applyFill="1" applyBorder="1"/>
    <xf numFmtId="166" fontId="19" fillId="21" borderId="0" xfId="0" applyNumberFormat="1" applyFont="1" applyFill="1" applyAlignment="1">
      <alignment horizontal="left" vertical="top" wrapText="1"/>
    </xf>
    <xf numFmtId="0" fontId="23" fillId="21" borderId="32" xfId="0" applyFont="1" applyFill="1" applyBorder="1"/>
    <xf numFmtId="166" fontId="23" fillId="21" borderId="0" xfId="0" applyNumberFormat="1" applyFont="1" applyFill="1" applyAlignment="1">
      <alignment horizontal="left" vertical="top" wrapText="1"/>
    </xf>
    <xf numFmtId="0" fontId="23" fillId="21" borderId="12" xfId="0" applyFont="1" applyFill="1" applyBorder="1" applyAlignment="1">
      <alignment horizontal="center"/>
    </xf>
    <xf numFmtId="0" fontId="19" fillId="21" borderId="36" xfId="0" applyFont="1" applyFill="1" applyBorder="1" applyAlignment="1">
      <alignment horizontal="center"/>
    </xf>
    <xf numFmtId="0" fontId="23" fillId="21" borderId="36" xfId="0" applyFont="1" applyFill="1" applyBorder="1" applyAlignment="1">
      <alignment horizontal="center"/>
    </xf>
    <xf numFmtId="0" fontId="23" fillId="21" borderId="37" xfId="0" applyFont="1" applyFill="1" applyBorder="1" applyAlignment="1">
      <alignment horizontal="center"/>
    </xf>
    <xf numFmtId="0" fontId="23" fillId="21" borderId="38" xfId="0" applyFont="1" applyFill="1" applyBorder="1" applyAlignment="1">
      <alignment horizontal="center"/>
    </xf>
    <xf numFmtId="0" fontId="23" fillId="26" borderId="39" xfId="0" applyFont="1" applyFill="1" applyBorder="1" applyAlignment="1">
      <alignment horizontal="center"/>
    </xf>
    <xf numFmtId="0" fontId="23" fillId="26" borderId="19" xfId="0" applyFont="1" applyFill="1" applyBorder="1" applyAlignment="1">
      <alignment horizontal="center"/>
    </xf>
    <xf numFmtId="0" fontId="23" fillId="21" borderId="0" xfId="0" applyFont="1" applyFill="1" applyAlignment="1">
      <alignment horizontal="center"/>
    </xf>
    <xf numFmtId="1" fontId="23" fillId="21" borderId="24" xfId="0" applyNumberFormat="1" applyFont="1" applyFill="1" applyBorder="1" applyAlignment="1">
      <alignment wrapText="1"/>
    </xf>
    <xf numFmtId="0" fontId="23" fillId="27" borderId="25" xfId="0" applyFont="1" applyFill="1" applyBorder="1"/>
    <xf numFmtId="0" fontId="23" fillId="27" borderId="26" xfId="0" applyFont="1" applyFill="1" applyBorder="1"/>
    <xf numFmtId="0" fontId="23" fillId="27" borderId="0" xfId="0" applyFont="1" applyFill="1"/>
    <xf numFmtId="0" fontId="34" fillId="27" borderId="0" xfId="0" applyFont="1" applyFill="1" applyAlignment="1">
      <alignment horizontal="center"/>
    </xf>
    <xf numFmtId="0" fontId="34" fillId="27" borderId="24" xfId="0" applyFont="1" applyFill="1" applyBorder="1" applyAlignment="1">
      <alignment horizontal="center"/>
    </xf>
    <xf numFmtId="0" fontId="19" fillId="21" borderId="40" xfId="0" applyFont="1" applyFill="1" applyBorder="1"/>
    <xf numFmtId="0" fontId="19" fillId="21" borderId="41" xfId="0" applyFont="1" applyFill="1" applyBorder="1"/>
    <xf numFmtId="0" fontId="23" fillId="21" borderId="41" xfId="0" applyFont="1" applyFill="1" applyBorder="1"/>
    <xf numFmtId="0" fontId="23" fillId="21" borderId="42" xfId="0" applyFont="1" applyFill="1" applyBorder="1"/>
    <xf numFmtId="0" fontId="23" fillId="21" borderId="40" xfId="0" applyFont="1" applyFill="1" applyBorder="1"/>
    <xf numFmtId="0" fontId="23" fillId="27" borderId="41" xfId="0" applyFont="1" applyFill="1" applyBorder="1"/>
    <xf numFmtId="0" fontId="23" fillId="28" borderId="0" xfId="0" applyFont="1" applyFill="1" applyAlignment="1">
      <alignment horizontal="center"/>
    </xf>
    <xf numFmtId="16" fontId="19" fillId="21" borderId="0" xfId="0" applyNumberFormat="1" applyFont="1" applyFill="1"/>
    <xf numFmtId="168" fontId="23" fillId="21" borderId="0" xfId="0" applyNumberFormat="1" applyFont="1" applyFill="1"/>
    <xf numFmtId="16" fontId="23" fillId="21" borderId="0" xfId="0" applyNumberFormat="1" applyFont="1" applyFill="1"/>
    <xf numFmtId="0" fontId="23" fillId="21" borderId="0" xfId="0" applyFont="1" applyFill="1" applyAlignment="1">
      <alignment horizontal="left"/>
    </xf>
    <xf numFmtId="14" fontId="19" fillId="21" borderId="0" xfId="0" applyNumberFormat="1" applyFont="1" applyFill="1"/>
    <xf numFmtId="0" fontId="31" fillId="21" borderId="0" xfId="0" applyFont="1" applyFill="1"/>
    <xf numFmtId="0" fontId="31" fillId="29" borderId="48" xfId="0" applyFont="1" applyFill="1" applyBorder="1" applyAlignment="1">
      <alignment horizontal="center"/>
    </xf>
    <xf numFmtId="0" fontId="31" fillId="29" borderId="49" xfId="0" applyFont="1" applyFill="1" applyBorder="1" applyAlignment="1">
      <alignment horizontal="left"/>
    </xf>
    <xf numFmtId="0" fontId="31" fillId="29" borderId="49" xfId="0" applyFont="1" applyFill="1" applyBorder="1" applyAlignment="1">
      <alignment horizontal="center"/>
    </xf>
    <xf numFmtId="0" fontId="31" fillId="29" borderId="50" xfId="0" applyFont="1" applyFill="1" applyBorder="1" applyAlignment="1">
      <alignment horizontal="center"/>
    </xf>
    <xf numFmtId="0" fontId="31" fillId="29" borderId="51" xfId="0" applyFont="1" applyFill="1" applyBorder="1" applyAlignment="1">
      <alignment horizontal="center"/>
    </xf>
    <xf numFmtId="0" fontId="19" fillId="29" borderId="52" xfId="0" applyFont="1" applyFill="1" applyBorder="1" applyAlignment="1">
      <alignment horizontal="left"/>
    </xf>
    <xf numFmtId="0" fontId="19" fillId="29" borderId="53" xfId="0" applyFont="1" applyFill="1" applyBorder="1" applyAlignment="1">
      <alignment horizontal="left"/>
    </xf>
    <xf numFmtId="0" fontId="19" fillId="29" borderId="54" xfId="0" applyFont="1" applyFill="1" applyBorder="1" applyAlignment="1">
      <alignment horizontal="left"/>
    </xf>
    <xf numFmtId="0" fontId="19" fillId="0" borderId="55" xfId="0" applyFont="1" applyBorder="1"/>
    <xf numFmtId="0" fontId="19" fillId="0" borderId="56" xfId="0" applyFont="1" applyBorder="1" applyAlignment="1">
      <alignment horizontal="left" vertical="top"/>
    </xf>
    <xf numFmtId="0" fontId="19" fillId="0" borderId="57" xfId="0" applyFont="1" applyBorder="1" applyAlignment="1">
      <alignment horizontal="left"/>
    </xf>
    <xf numFmtId="0" fontId="19" fillId="0" borderId="57" xfId="36" applyFont="1" applyFill="1" applyBorder="1" applyAlignment="1">
      <alignment horizontal="left" wrapText="1"/>
    </xf>
    <xf numFmtId="0" fontId="19" fillId="0" borderId="58" xfId="0" applyFont="1" applyBorder="1" applyAlignment="1">
      <alignment horizontal="left"/>
    </xf>
    <xf numFmtId="169" fontId="23" fillId="21" borderId="0" xfId="0" applyNumberFormat="1" applyFont="1" applyFill="1"/>
    <xf numFmtId="164" fontId="26" fillId="20" borderId="0" xfId="0" applyNumberFormat="1" applyFont="1" applyFill="1" applyAlignment="1">
      <alignment horizontal="center" vertical="center"/>
    </xf>
    <xf numFmtId="0" fontId="26" fillId="20" borderId="0" xfId="0" applyFont="1" applyFill="1"/>
    <xf numFmtId="0" fontId="36" fillId="20" borderId="0" xfId="0" applyFont="1" applyFill="1"/>
    <xf numFmtId="0" fontId="35" fillId="0" borderId="0" xfId="0" applyFont="1"/>
    <xf numFmtId="0" fontId="8" fillId="0" borderId="0" xfId="45" applyFont="1"/>
    <xf numFmtId="0" fontId="4" fillId="0" borderId="0" xfId="45"/>
    <xf numFmtId="0" fontId="4" fillId="0" borderId="0" xfId="45" applyAlignment="1">
      <alignment horizontal="left"/>
    </xf>
    <xf numFmtId="0" fontId="4" fillId="0" borderId="0" xfId="45" applyAlignment="1">
      <alignment horizontal="center"/>
    </xf>
    <xf numFmtId="0" fontId="8" fillId="0" borderId="0" xfId="45" applyFont="1" applyAlignment="1">
      <alignment horizontal="left"/>
    </xf>
    <xf numFmtId="49" fontId="19" fillId="0" borderId="11" xfId="0" applyNumberFormat="1" applyFont="1" applyBorder="1" applyAlignment="1">
      <alignment horizontal="left"/>
    </xf>
    <xf numFmtId="0" fontId="8" fillId="0" borderId="0" xfId="45" applyFont="1" applyAlignment="1">
      <alignment horizontal="center"/>
    </xf>
    <xf numFmtId="9" fontId="0" fillId="0" borderId="0" xfId="0" applyNumberFormat="1"/>
    <xf numFmtId="0" fontId="37" fillId="0" borderId="0" xfId="0" applyFont="1" applyAlignment="1">
      <alignment horizontal="center"/>
    </xf>
    <xf numFmtId="9" fontId="37" fillId="0" borderId="0" xfId="0" applyNumberFormat="1" applyFont="1"/>
    <xf numFmtId="9" fontId="37" fillId="0" borderId="0" xfId="0" applyNumberFormat="1" applyFont="1" applyAlignment="1">
      <alignment horizontal="center"/>
    </xf>
    <xf numFmtId="0" fontId="34" fillId="30" borderId="0" xfId="0" applyFont="1" applyFill="1" applyAlignment="1">
      <alignment wrapText="1"/>
    </xf>
    <xf numFmtId="0" fontId="38" fillId="31" borderId="0" xfId="0" applyFont="1" applyFill="1"/>
    <xf numFmtId="0" fontId="38" fillId="31" borderId="43" xfId="0" applyFont="1" applyFill="1" applyBorder="1" applyAlignment="1">
      <alignment horizontal="center"/>
    </xf>
    <xf numFmtId="0" fontId="38" fillId="31" borderId="44" xfId="0" applyFont="1" applyFill="1" applyBorder="1" applyAlignment="1">
      <alignment horizontal="left"/>
    </xf>
    <xf numFmtId="0" fontId="38" fillId="31" borderId="45" xfId="0" applyFont="1" applyFill="1" applyBorder="1" applyAlignment="1">
      <alignment horizontal="center"/>
    </xf>
    <xf numFmtId="0" fontId="38" fillId="31" borderId="46" xfId="0" applyFont="1" applyFill="1" applyBorder="1" applyAlignment="1">
      <alignment horizontal="center"/>
    </xf>
    <xf numFmtId="0" fontId="38" fillId="31" borderId="47" xfId="0" applyFont="1" applyFill="1" applyBorder="1" applyAlignment="1">
      <alignment horizontal="center"/>
    </xf>
    <xf numFmtId="0" fontId="39" fillId="32" borderId="0" xfId="0" applyFont="1" applyFill="1"/>
    <xf numFmtId="170" fontId="23" fillId="15" borderId="19" xfId="0" applyNumberFormat="1" applyFont="1" applyFill="1" applyBorder="1"/>
    <xf numFmtId="170" fontId="22" fillId="20" borderId="0" xfId="0" applyNumberFormat="1" applyFont="1" applyFill="1"/>
    <xf numFmtId="0" fontId="38" fillId="31" borderId="0" xfId="0" applyFont="1" applyFill="1" applyAlignment="1">
      <alignment horizontal="left" wrapText="1"/>
    </xf>
    <xf numFmtId="0" fontId="38" fillId="31" borderId="0" xfId="0" applyFont="1" applyFill="1" applyAlignment="1">
      <alignment wrapText="1"/>
    </xf>
    <xf numFmtId="0" fontId="38" fillId="31" borderId="0" xfId="0" applyFont="1" applyFill="1" applyAlignment="1">
      <alignment vertical="top" wrapText="1"/>
    </xf>
    <xf numFmtId="49" fontId="38" fillId="31" borderId="0" xfId="0" applyNumberFormat="1" applyFont="1" applyFill="1" applyAlignment="1">
      <alignment horizontal="left" vertical="top" wrapText="1"/>
    </xf>
    <xf numFmtId="0" fontId="38" fillId="31" borderId="0" xfId="0" applyFont="1" applyFill="1" applyAlignment="1">
      <alignment horizontal="left" vertical="top" wrapText="1"/>
    </xf>
    <xf numFmtId="49" fontId="19" fillId="0" borderId="10" xfId="0" applyNumberFormat="1" applyFont="1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49" fontId="19" fillId="0" borderId="11" xfId="0" applyNumberFormat="1" applyFont="1" applyBorder="1" applyAlignment="1">
      <alignment horizontal="left" wrapText="1"/>
    </xf>
    <xf numFmtId="0" fontId="19" fillId="15" borderId="12" xfId="0" applyFont="1" applyFill="1" applyBorder="1" applyAlignment="1">
      <alignment horizontal="center" wrapText="1"/>
    </xf>
    <xf numFmtId="49" fontId="22" fillId="0" borderId="0" xfId="0" applyNumberFormat="1" applyFont="1" applyAlignment="1">
      <alignment wrapText="1"/>
    </xf>
    <xf numFmtId="165" fontId="19" fillId="0" borderId="0" xfId="0" applyNumberFormat="1" applyFont="1" applyAlignment="1">
      <alignment wrapText="1"/>
    </xf>
    <xf numFmtId="1" fontId="19" fillId="0" borderId="13" xfId="0" applyNumberFormat="1" applyFont="1" applyBorder="1" applyAlignment="1">
      <alignment wrapText="1"/>
    </xf>
    <xf numFmtId="0" fontId="19" fillId="15" borderId="0" xfId="0" applyFont="1" applyFill="1" applyAlignment="1">
      <alignment wrapText="1"/>
    </xf>
    <xf numFmtId="49" fontId="20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40" fillId="31" borderId="0" xfId="0" applyFont="1" applyFill="1"/>
    <xf numFmtId="171" fontId="34" fillId="32" borderId="25" xfId="0" applyNumberFormat="1" applyFont="1" applyFill="1" applyBorder="1" applyAlignment="1">
      <alignment horizontal="center"/>
    </xf>
    <xf numFmtId="171" fontId="34" fillId="32" borderId="26" xfId="0" applyNumberFormat="1" applyFont="1" applyFill="1" applyBorder="1" applyAlignment="1">
      <alignment horizontal="center"/>
    </xf>
    <xf numFmtId="0" fontId="34" fillId="32" borderId="27" xfId="0" applyFont="1" applyFill="1" applyBorder="1" applyAlignment="1">
      <alignment horizontal="center"/>
    </xf>
    <xf numFmtId="0" fontId="34" fillId="32" borderId="28" xfId="0" applyFont="1" applyFill="1" applyBorder="1" applyAlignment="1">
      <alignment horizontal="center"/>
    </xf>
    <xf numFmtId="0" fontId="34" fillId="32" borderId="29" xfId="0" applyFont="1" applyFill="1" applyBorder="1" applyAlignment="1">
      <alignment horizontal="center"/>
    </xf>
    <xf numFmtId="0" fontId="41" fillId="31" borderId="0" xfId="0" applyFont="1" applyFill="1" applyAlignment="1">
      <alignment horizontal="left"/>
    </xf>
    <xf numFmtId="9" fontId="40" fillId="31" borderId="0" xfId="0" applyNumberFormat="1" applyFont="1" applyFill="1"/>
    <xf numFmtId="0" fontId="34" fillId="27" borderId="59" xfId="0" applyFont="1" applyFill="1" applyBorder="1" applyAlignment="1">
      <alignment horizontal="center"/>
    </xf>
    <xf numFmtId="0" fontId="34" fillId="27" borderId="60" xfId="0" applyFont="1" applyFill="1" applyBorder="1" applyAlignment="1">
      <alignment horizontal="center"/>
    </xf>
    <xf numFmtId="0" fontId="34" fillId="27" borderId="61" xfId="0" applyFont="1" applyFill="1" applyBorder="1" applyAlignment="1">
      <alignment horizontal="center"/>
    </xf>
    <xf numFmtId="0" fontId="33" fillId="20" borderId="20" xfId="0" applyFont="1" applyFill="1" applyBorder="1" applyAlignment="1">
      <alignment horizontal="center"/>
    </xf>
    <xf numFmtId="0" fontId="33" fillId="20" borderId="21" xfId="0" applyFont="1" applyFill="1" applyBorder="1" applyAlignment="1">
      <alignment horizontal="center"/>
    </xf>
    <xf numFmtId="0" fontId="33" fillId="20" borderId="22" xfId="0" applyFont="1" applyFill="1" applyBorder="1" applyAlignment="1">
      <alignment horizontal="center"/>
    </xf>
    <xf numFmtId="16" fontId="34" fillId="21" borderId="25" xfId="0" applyNumberFormat="1" applyFont="1" applyFill="1" applyBorder="1" applyAlignment="1">
      <alignment horizontal="center"/>
    </xf>
    <xf numFmtId="16" fontId="34" fillId="21" borderId="26" xfId="0" applyNumberFormat="1" applyFont="1" applyFill="1" applyBorder="1" applyAlignment="1">
      <alignment horizontal="center"/>
    </xf>
    <xf numFmtId="16" fontId="34" fillId="21" borderId="62" xfId="0" applyNumberFormat="1" applyFont="1" applyFill="1" applyBorder="1" applyAlignment="1">
      <alignment horizontal="center"/>
    </xf>
    <xf numFmtId="0" fontId="23" fillId="21" borderId="27" xfId="0" applyFont="1" applyFill="1" applyBorder="1" applyAlignment="1">
      <alignment horizontal="center"/>
    </xf>
    <xf numFmtId="0" fontId="23" fillId="21" borderId="28" xfId="0" applyFont="1" applyFill="1" applyBorder="1" applyAlignment="1">
      <alignment horizontal="center"/>
    </xf>
    <xf numFmtId="0" fontId="23" fillId="21" borderId="29" xfId="0" applyFont="1" applyFill="1" applyBorder="1" applyAlignment="1">
      <alignment horizontal="center"/>
    </xf>
    <xf numFmtId="0" fontId="20" fillId="23" borderId="0" xfId="0" applyFont="1" applyFill="1" applyAlignment="1">
      <alignment horizontal="right"/>
    </xf>
    <xf numFmtId="164" fontId="22" fillId="20" borderId="0" xfId="0" applyNumberFormat="1" applyFont="1" applyFill="1" applyAlignment="1">
      <alignment horizontal="center" vertical="center"/>
    </xf>
    <xf numFmtId="171" fontId="22" fillId="20" borderId="0" xfId="0" applyNumberFormat="1" applyFont="1" applyFill="1" applyAlignment="1">
      <alignment horizontal="center" vertical="center"/>
    </xf>
    <xf numFmtId="0" fontId="26" fillId="23" borderId="0" xfId="0" applyFont="1" applyFill="1" applyAlignment="1">
      <alignment horizontal="right"/>
    </xf>
    <xf numFmtId="0" fontId="35" fillId="0" borderId="0" xfId="0" applyFont="1"/>
    <xf numFmtId="0" fontId="23" fillId="0" borderId="0" xfId="0" applyFont="1"/>
  </cellXfs>
  <cellStyles count="46">
    <cellStyle name="Accent1" xfId="1" xr:uid="{00000000-0005-0000-0000-000000000000}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xr:uid="{00000000-0005-0000-0000-000004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xr:uid="{00000000-0005-0000-0000-000008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xr:uid="{00000000-0005-0000-0000-00000C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xr:uid="{00000000-0005-0000-0000-000010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xr:uid="{00000000-0005-0000-0000-000014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xr:uid="{00000000-0005-0000-0000-00001E000000}"/>
    <cellStyle name="Heading 1" xfId="32" xr:uid="{00000000-0005-0000-0000-00001F000000}"/>
    <cellStyle name="Heading 2" xfId="33" xr:uid="{00000000-0005-0000-0000-000020000000}"/>
    <cellStyle name="Heading 3" xfId="34" xr:uid="{00000000-0005-0000-0000-000021000000}"/>
    <cellStyle name="Heading 4" xfId="35" xr:uid="{00000000-0005-0000-0000-000022000000}"/>
    <cellStyle name="Hyperlink" xfId="36" xr:uid="{00000000-0005-0000-0000-000023000000}"/>
    <cellStyle name="Input" xfId="37" xr:uid="{00000000-0005-0000-0000-000024000000}"/>
    <cellStyle name="Linked Cell" xfId="38" xr:uid="{00000000-0005-0000-0000-000025000000}"/>
    <cellStyle name="Neutral" xfId="39" xr:uid="{00000000-0005-0000-0000-000026000000}"/>
    <cellStyle name="Normal" xfId="0" builtinId="0"/>
    <cellStyle name="Normal 2" xfId="45" xr:uid="{00000000-0005-0000-0000-000028000000}"/>
    <cellStyle name="Note" xfId="40" xr:uid="{00000000-0005-0000-0000-000029000000}"/>
    <cellStyle name="Output" xfId="41" xr:uid="{00000000-0005-0000-0000-00002A000000}"/>
    <cellStyle name="Sheet Title" xfId="42" xr:uid="{00000000-0005-0000-0000-00002B000000}"/>
    <cellStyle name="Total" xfId="43" xr:uid="{00000000-0005-0000-0000-00002C000000}"/>
    <cellStyle name="Warning Text" xfId="44" xr:uid="{00000000-0005-0000-0000-00002D000000}"/>
  </cellStyles>
  <dxfs count="130"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right style="thin">
          <color indexed="64"/>
        </right>
      </border>
    </dxf>
    <dxf>
      <font>
        <color indexed="9"/>
      </font>
      <fill>
        <patternFill>
          <bgColor indexed="64"/>
        </patternFill>
      </fill>
      <border>
        <right style="thin">
          <color indexed="64"/>
        </right>
      </border>
    </dxf>
    <dxf>
      <font>
        <color indexed="9"/>
      </font>
      <fill>
        <patternFill>
          <bgColor indexed="64"/>
        </patternFill>
      </fill>
      <border>
        <right style="thin">
          <color indexed="64"/>
        </right>
      </border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ont>
        <color indexed="42"/>
      </font>
      <fill>
        <patternFill>
          <bgColor indexed="64"/>
        </patternFill>
      </fill>
    </dxf>
    <dxf>
      <font>
        <color indexed="43"/>
      </font>
      <fill>
        <patternFill>
          <bgColor indexed="64"/>
        </patternFill>
      </fill>
    </dxf>
    <dxf>
      <font>
        <color indexed="42"/>
      </font>
      <fill>
        <patternFill>
          <bgColor indexed="64"/>
        </patternFill>
      </fill>
    </dxf>
    <dxf>
      <font>
        <color indexed="43"/>
      </font>
      <fill>
        <patternFill>
          <bgColor indexed="64"/>
        </patternFill>
      </fill>
    </dxf>
    <dxf>
      <font>
        <color indexed="22"/>
      </font>
      <fill>
        <patternFill>
          <bgColor indexed="22"/>
        </patternFill>
      </fill>
    </dxf>
    <dxf>
      <font>
        <color indexed="22"/>
      </font>
      <fill>
        <patternFill>
          <bgColor indexed="22"/>
        </patternFill>
      </fill>
    </dxf>
    <dxf>
      <font>
        <color indexed="22"/>
      </font>
      <fill>
        <patternFill>
          <bgColor indexed="22"/>
        </patternFill>
      </fill>
    </dxf>
    <dxf>
      <font>
        <color indexed="43"/>
      </font>
      <fill>
        <patternFill>
          <bgColor indexed="64"/>
        </patternFill>
      </fill>
    </dxf>
    <dxf>
      <font>
        <color indexed="22"/>
      </font>
      <fill>
        <patternFill>
          <bgColor indexed="22"/>
        </patternFill>
      </fill>
    </dxf>
    <dxf>
      <font>
        <color indexed="42"/>
      </font>
      <fill>
        <patternFill>
          <bgColor indexed="64"/>
        </patternFill>
      </fill>
    </dxf>
    <dxf>
      <font>
        <color auto="1"/>
      </font>
      <fill>
        <patternFill>
          <bgColor indexed="64"/>
        </patternFill>
      </fill>
    </dxf>
    <dxf>
      <font>
        <color indexed="9"/>
      </font>
      <fill>
        <patternFill>
          <bgColor indexed="64"/>
        </patternFill>
      </fill>
      <border>
        <right style="thin">
          <color indexed="64"/>
        </right>
      </border>
    </dxf>
    <dxf>
      <fill>
        <patternFill patternType="lightDown">
          <fgColor indexed="22"/>
          <bgColor indexed="65"/>
        </patternFill>
      </fill>
    </dxf>
    <dxf>
      <font>
        <color auto="1"/>
      </font>
      <fill>
        <patternFill>
          <bgColor indexed="64"/>
        </patternFill>
      </fill>
    </dxf>
    <dxf>
      <font>
        <u/>
        <color indexed="44"/>
      </font>
    </dxf>
    <dxf>
      <font>
        <color auto="1"/>
      </font>
      <fill>
        <patternFill>
          <bgColor indexed="64"/>
        </patternFill>
      </fill>
    </dxf>
    <dxf>
      <font>
        <color auto="1"/>
      </font>
      <fill>
        <patternFill>
          <bgColor indexed="64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lor indexed="9"/>
      </font>
      <fill>
        <patternFill>
          <bgColor indexed="64"/>
        </patternFill>
      </fill>
      <border>
        <left style="thin">
          <color indexed="64"/>
        </left>
      </border>
    </dxf>
    <dxf>
      <font>
        <color auto="1"/>
      </font>
      <fill>
        <patternFill>
          <bgColor indexed="64"/>
        </patternFill>
      </fill>
    </dxf>
    <dxf>
      <font>
        <color indexed="11"/>
      </font>
    </dxf>
    <dxf>
      <font>
        <color indexed="10"/>
      </font>
    </dxf>
    <dxf>
      <font>
        <color indexed="13"/>
      </font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ont>
        <color auto="1"/>
      </font>
      <fill>
        <patternFill>
          <bgColor indexed="22"/>
        </patternFill>
      </fill>
    </dxf>
    <dxf>
      <font>
        <color auto="1"/>
      </font>
      <fill>
        <patternFill>
          <bgColor indexed="64"/>
        </patternFill>
      </fill>
    </dxf>
    <dxf>
      <font>
        <color auto="1"/>
      </font>
      <fill>
        <patternFill>
          <bgColor indexed="64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 patternType="gray0625">
          <fgColor indexed="64"/>
          <bgColor indexed="65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ont>
        <b/>
        <color indexed="9"/>
      </font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'Project Specific Reports'!$A$2</c:f>
              <c:strCache>
                <c:ptCount val="1"/>
                <c:pt idx="0">
                  <c:v>Feature</c:v>
                </c:pt>
              </c:strCache>
            </c:strRef>
          </c:tx>
          <c:invertIfNegative val="1"/>
          <c:val>
            <c:numRef>
              <c:f>'Project Specific Reports'!$B$2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BD47-4DC9-8536-CD5E1A7CD0D9}"/>
            </c:ext>
          </c:extLst>
        </c:ser>
        <c:ser>
          <c:idx val="1"/>
          <c:order val="1"/>
          <c:tx>
            <c:strRef>
              <c:f>'Project Specific Reports'!$A$3</c:f>
              <c:strCache>
                <c:ptCount val="1"/>
                <c:pt idx="0">
                  <c:v>Tax</c:v>
                </c:pt>
              </c:strCache>
            </c:strRef>
          </c:tx>
          <c:invertIfNegative val="1"/>
          <c:val>
            <c:numRef>
              <c:f>'Project Specific Reports'!$B$3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BD47-4DC9-8536-CD5E1A7CD0D9}"/>
            </c:ext>
          </c:extLst>
        </c:ser>
        <c:ser>
          <c:idx val="2"/>
          <c:order val="2"/>
          <c:tx>
            <c:strRef>
              <c:f>'Project Specific Reports'!$A$4</c:f>
              <c:strCache>
                <c:ptCount val="1"/>
                <c:pt idx="0">
                  <c:v>Precondition</c:v>
                </c:pt>
              </c:strCache>
            </c:strRef>
          </c:tx>
          <c:invertIfNegative val="1"/>
          <c:val>
            <c:numRef>
              <c:f>'Project Specific Reports'!$B$4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BD47-4DC9-8536-CD5E1A7CD0D9}"/>
            </c:ext>
          </c:extLst>
        </c:ser>
        <c:ser>
          <c:idx val="3"/>
          <c:order val="3"/>
          <c:tx>
            <c:strRef>
              <c:f>'Project Specific Reports'!$A$5</c:f>
              <c:strCache>
                <c:ptCount val="1"/>
                <c:pt idx="0">
                  <c:v>Spike</c:v>
                </c:pt>
              </c:strCache>
            </c:strRef>
          </c:tx>
          <c:invertIfNegative val="1"/>
          <c:val>
            <c:numRef>
              <c:f>'Project Specific Reports'!$B$5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3-BD47-4DC9-8536-CD5E1A7CD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;;" sourceLinked="1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'Project Specific Reports'!$A$9</c:f>
              <c:strCache>
                <c:ptCount val="1"/>
                <c:pt idx="0">
                  <c:v>Actividad 12 / Diccionario</c:v>
                </c:pt>
              </c:strCache>
            </c:strRef>
          </c:tx>
          <c:invertIfNegative val="1"/>
          <c:val>
            <c:numRef>
              <c:f>'Project Specific Reports'!$B$9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7BA1-42AF-B838-37AA3DF5DCF6}"/>
            </c:ext>
          </c:extLst>
        </c:ser>
        <c:ser>
          <c:idx val="1"/>
          <c:order val="1"/>
          <c:tx>
            <c:strRef>
              <c:f>'Project Specific Reports'!$A$10</c:f>
              <c:strCache>
                <c:ptCount val="1"/>
                <c:pt idx="0">
                  <c:v>Lectura de archivo</c:v>
                </c:pt>
              </c:strCache>
            </c:strRef>
          </c:tx>
          <c:invertIfNegative val="1"/>
          <c:val>
            <c:numRef>
              <c:f>'Project Specific Reports'!$B$10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7BA1-42AF-B838-37AA3DF5DCF6}"/>
            </c:ext>
          </c:extLst>
        </c:ser>
        <c:ser>
          <c:idx val="2"/>
          <c:order val="2"/>
          <c:tx>
            <c:strRef>
              <c:f>'Project Specific Reports'!$A$11</c:f>
              <c:strCache>
                <c:ptCount val="1"/>
                <c:pt idx="0">
                  <c:v>Búsqueda de tokens</c:v>
                </c:pt>
              </c:strCache>
            </c:strRef>
          </c:tx>
          <c:invertIfNegative val="1"/>
          <c:val>
            <c:numRef>
              <c:f>'Project Specific Reports'!$B$11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7BA1-42AF-B838-37AA3DF5DCF6}"/>
            </c:ext>
          </c:extLst>
        </c:ser>
        <c:ser>
          <c:idx val="3"/>
          <c:order val="3"/>
          <c:tx>
            <c:strRef>
              <c:f>'Project Specific Reports'!$A$12</c:f>
              <c:strCache>
                <c:ptCount val="1"/>
                <c:pt idx="0">
                  <c:v>Pruebas</c:v>
                </c:pt>
              </c:strCache>
            </c:strRef>
          </c:tx>
          <c:invertIfNegative val="1"/>
          <c:val>
            <c:numRef>
              <c:f>'Project Specific Reports'!$B$12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3-7BA1-42AF-B838-37AA3DF5DCF6}"/>
            </c:ext>
          </c:extLst>
        </c:ser>
        <c:ser>
          <c:idx val="4"/>
          <c:order val="4"/>
          <c:tx>
            <c:strRef>
              <c:f>'Project Specific Reports'!$A$13</c:f>
              <c:strCache>
                <c:ptCount val="1"/>
                <c:pt idx="0">
                  <c:v>Documentación</c:v>
                </c:pt>
              </c:strCache>
            </c:strRef>
          </c:tx>
          <c:invertIfNegative val="1"/>
          <c:val>
            <c:numRef>
              <c:f>'Project Specific Reports'!$B$13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4-7BA1-42AF-B838-37AA3DF5DCF6}"/>
            </c:ext>
          </c:extLst>
        </c:ser>
        <c:ser>
          <c:idx val="5"/>
          <c:order val="5"/>
          <c:tx>
            <c:strRef>
              <c:f>'Project Specific Reports'!$A$14</c:f>
              <c:strCache>
                <c:ptCount val="1"/>
                <c:pt idx="0">
                  <c:v>Revisión Scrum</c:v>
                </c:pt>
              </c:strCache>
            </c:strRef>
          </c:tx>
          <c:invertIfNegative val="1"/>
          <c:val>
            <c:numRef>
              <c:f>'Project Specific Reports'!$B$14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5-7BA1-42AF-B838-37AA3DF5DCF6}"/>
            </c:ext>
          </c:extLst>
        </c:ser>
        <c:ser>
          <c:idx val="6"/>
          <c:order val="6"/>
          <c:tx>
            <c:strRef>
              <c:f>'Project Specific Reports'!$A$15</c:f>
              <c:strCache>
                <c:ptCount val="1"/>
              </c:strCache>
            </c:strRef>
          </c:tx>
          <c:invertIfNegative val="1"/>
          <c:val>
            <c:numRef>
              <c:f>'Project Specific Reports'!$B$15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6-7BA1-42AF-B838-37AA3DF5DCF6}"/>
            </c:ext>
          </c:extLst>
        </c:ser>
        <c:ser>
          <c:idx val="7"/>
          <c:order val="7"/>
          <c:tx>
            <c:strRef>
              <c:f>'Project Specific Reports'!$A$16</c:f>
              <c:strCache>
                <c:ptCount val="1"/>
              </c:strCache>
            </c:strRef>
          </c:tx>
          <c:invertIfNegative val="1"/>
          <c:val>
            <c:numRef>
              <c:f>'Project Specific Reports'!$B$16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7-7BA1-42AF-B838-37AA3DF5DCF6}"/>
            </c:ext>
          </c:extLst>
        </c:ser>
        <c:ser>
          <c:idx val="8"/>
          <c:order val="8"/>
          <c:tx>
            <c:strRef>
              <c:f>'Project Specific Reports'!$A$17</c:f>
              <c:strCache>
                <c:ptCount val="1"/>
              </c:strCache>
            </c:strRef>
          </c:tx>
          <c:invertIfNegative val="1"/>
          <c:val>
            <c:numRef>
              <c:f>'Project Specific Reports'!$B$17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8-7BA1-42AF-B838-37AA3DF5DCF6}"/>
            </c:ext>
          </c:extLst>
        </c:ser>
        <c:ser>
          <c:idx val="9"/>
          <c:order val="9"/>
          <c:tx>
            <c:strRef>
              <c:f>'Project Specific Reports'!$A$18</c:f>
              <c:strCache>
                <c:ptCount val="1"/>
              </c:strCache>
            </c:strRef>
          </c:tx>
          <c:invertIfNegative val="1"/>
          <c:val>
            <c:numRef>
              <c:f>'Project Specific Reports'!$B$18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9-7BA1-42AF-B838-37AA3DF5DCF6}"/>
            </c:ext>
          </c:extLst>
        </c:ser>
        <c:ser>
          <c:idx val="10"/>
          <c:order val="10"/>
          <c:tx>
            <c:strRef>
              <c:f>'Project Specific Reports'!$A$19</c:f>
              <c:strCache>
                <c:ptCount val="1"/>
              </c:strCache>
            </c:strRef>
          </c:tx>
          <c:invertIfNegative val="1"/>
          <c:val>
            <c:numRef>
              <c:f>'Project Specific Reports'!$B$19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A-7BA1-42AF-B838-37AA3DF5DCF6}"/>
            </c:ext>
          </c:extLst>
        </c:ser>
        <c:ser>
          <c:idx val="11"/>
          <c:order val="11"/>
          <c:tx>
            <c:strRef>
              <c:f>'Project Specific Reports'!$A$20</c:f>
              <c:strCache>
                <c:ptCount val="1"/>
              </c:strCache>
            </c:strRef>
          </c:tx>
          <c:invertIfNegative val="1"/>
          <c:val>
            <c:numRef>
              <c:f>'Project Specific Reports'!$B$20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B-7BA1-42AF-B838-37AA3DF5DCF6}"/>
            </c:ext>
          </c:extLst>
        </c:ser>
        <c:ser>
          <c:idx val="12"/>
          <c:order val="12"/>
          <c:tx>
            <c:strRef>
              <c:f>'Project Specific Reports'!$A$21</c:f>
              <c:strCache>
                <c:ptCount val="1"/>
              </c:strCache>
            </c:strRef>
          </c:tx>
          <c:invertIfNegative val="1"/>
          <c:val>
            <c:numRef>
              <c:f>'Project Specific Reports'!$B$21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C-7BA1-42AF-B838-37AA3DF5DCF6}"/>
            </c:ext>
          </c:extLst>
        </c:ser>
        <c:ser>
          <c:idx val="13"/>
          <c:order val="13"/>
          <c:tx>
            <c:strRef>
              <c:f>'Project Specific Reports'!$A$22</c:f>
              <c:strCache>
                <c:ptCount val="1"/>
              </c:strCache>
            </c:strRef>
          </c:tx>
          <c:invertIfNegative val="1"/>
          <c:val>
            <c:numRef>
              <c:f>'Project Specific Reports'!$B$22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D-7BA1-42AF-B838-37AA3DF5DCF6}"/>
            </c:ext>
          </c:extLst>
        </c:ser>
        <c:ser>
          <c:idx val="14"/>
          <c:order val="14"/>
          <c:tx>
            <c:strRef>
              <c:f>'Project Specific Reports'!$A$23</c:f>
              <c:strCache>
                <c:ptCount val="1"/>
              </c:strCache>
            </c:strRef>
          </c:tx>
          <c:invertIfNegative val="1"/>
          <c:val>
            <c:numRef>
              <c:f>'Project Specific Reports'!$B$23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E-7BA1-42AF-B838-37AA3DF5DCF6}"/>
            </c:ext>
          </c:extLst>
        </c:ser>
        <c:ser>
          <c:idx val="15"/>
          <c:order val="15"/>
          <c:tx>
            <c:strRef>
              <c:f>'Project Specific Reports'!$A$24</c:f>
              <c:strCache>
                <c:ptCount val="1"/>
              </c:strCache>
            </c:strRef>
          </c:tx>
          <c:invertIfNegative val="1"/>
          <c:val>
            <c:numRef>
              <c:f>'Project Specific Reports'!$B$24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F-7BA1-42AF-B838-37AA3DF5D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;;" sourceLinked="1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'Project Specific Reports'!$A$28</c:f>
              <c:strCache>
                <c:ptCount val="1"/>
                <c:pt idx="0">
                  <c:v>Complete</c:v>
                </c:pt>
              </c:strCache>
            </c:strRef>
          </c:tx>
          <c:invertIfNegative val="1"/>
          <c:val>
            <c:numRef>
              <c:f>'Project Specific Reports'!$B$28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B4D3-4C00-B75F-8299486B948A}"/>
            </c:ext>
          </c:extLst>
        </c:ser>
        <c:ser>
          <c:idx val="1"/>
          <c:order val="1"/>
          <c:tx>
            <c:strRef>
              <c:f>'Project Specific Reports'!$A$29</c:f>
              <c:strCache>
                <c:ptCount val="1"/>
                <c:pt idx="0">
                  <c:v>In Progress</c:v>
                </c:pt>
              </c:strCache>
            </c:strRef>
          </c:tx>
          <c:invertIfNegative val="1"/>
          <c:val>
            <c:numRef>
              <c:f>'Project Specific Reports'!$B$29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B4D3-4C00-B75F-8299486B948A}"/>
            </c:ext>
          </c:extLst>
        </c:ser>
        <c:ser>
          <c:idx val="2"/>
          <c:order val="2"/>
          <c:tx>
            <c:strRef>
              <c:f>'Project Specific Reports'!$A$30</c:f>
              <c:strCache>
                <c:ptCount val="1"/>
                <c:pt idx="0">
                  <c:v>Pending</c:v>
                </c:pt>
              </c:strCache>
            </c:strRef>
          </c:tx>
          <c:invertIfNegative val="1"/>
          <c:val>
            <c:numRef>
              <c:f>'Project Specific Reports'!$B$30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B4D3-4C00-B75F-8299486B948A}"/>
            </c:ext>
          </c:extLst>
        </c:ser>
        <c:ser>
          <c:idx val="3"/>
          <c:order val="3"/>
          <c:tx>
            <c:strRef>
              <c:f>'Project Specific Reports'!$A$31</c:f>
              <c:strCache>
                <c:ptCount val="1"/>
                <c:pt idx="0">
                  <c:v>Postponed</c:v>
                </c:pt>
              </c:strCache>
            </c:strRef>
          </c:tx>
          <c:invertIfNegative val="1"/>
          <c:val>
            <c:numRef>
              <c:f>'Project Specific Reports'!$B$31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3-B4D3-4C00-B75F-8299486B948A}"/>
            </c:ext>
          </c:extLst>
        </c:ser>
        <c:ser>
          <c:idx val="4"/>
          <c:order val="4"/>
          <c:tx>
            <c:strRef>
              <c:f>'Project Specific Reports'!$A$32</c:f>
              <c:strCache>
                <c:ptCount val="1"/>
                <c:pt idx="0">
                  <c:v>Cancelled</c:v>
                </c:pt>
              </c:strCache>
            </c:strRef>
          </c:tx>
          <c:invertIfNegative val="1"/>
          <c:val>
            <c:numRef>
              <c:f>'Project Specific Reports'!$B$32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4-B4D3-4C00-B75F-8299486B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;;" sourceLinked="1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19050</xdr:rowOff>
    </xdr:from>
    <xdr:to>
      <xdr:col>11</xdr:col>
      <xdr:colOff>333375</xdr:colOff>
      <xdr:row>15</xdr:row>
      <xdr:rowOff>95250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1</xdr:row>
      <xdr:rowOff>19050</xdr:rowOff>
    </xdr:from>
    <xdr:to>
      <xdr:col>19</xdr:col>
      <xdr:colOff>190500</xdr:colOff>
      <xdr:row>15</xdr:row>
      <xdr:rowOff>95250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17</xdr:row>
      <xdr:rowOff>0</xdr:rowOff>
    </xdr:from>
    <xdr:to>
      <xdr:col>11</xdr:col>
      <xdr:colOff>333375</xdr:colOff>
      <xdr:row>31</xdr:row>
      <xdr:rowOff>104775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medu-my.sharepoint.com/personal/al02942419_tecmilenio_mx/Documents/Escuela/8vo%20Semestre/Proyecto%20de%20ingenier&#237;a%20de%20software/Actividad%2012/Actividad12_Template.xlsm" TargetMode="External"/><Relationship Id="rId1" Type="http://schemas.openxmlformats.org/officeDocument/2006/relationships/externalLinkPath" Target="Actividad12_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 Roster"/>
      <sheetName val="Capacity"/>
      <sheetName val="Analysis"/>
      <sheetName val="Project Specific Reports"/>
      <sheetName val="Sprint"/>
      <sheetName val="Burn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1</v>
          </cell>
          <cell r="B2">
            <v>46143</v>
          </cell>
          <cell r="C2">
            <v>61.4</v>
          </cell>
          <cell r="D2">
            <v>61.6</v>
          </cell>
        </row>
        <row r="3">
          <cell r="A3">
            <v>2</v>
          </cell>
          <cell r="B3">
            <v>46146</v>
          </cell>
          <cell r="C3">
            <v>55.8</v>
          </cell>
          <cell r="D3">
            <v>59</v>
          </cell>
        </row>
        <row r="4">
          <cell r="A4">
            <v>3</v>
          </cell>
          <cell r="B4">
            <v>46147</v>
          </cell>
          <cell r="C4">
            <v>50.2</v>
          </cell>
          <cell r="D4">
            <v>56.3</v>
          </cell>
        </row>
        <row r="5">
          <cell r="A5">
            <v>4</v>
          </cell>
          <cell r="B5">
            <v>46148</v>
          </cell>
          <cell r="C5">
            <v>44.7</v>
          </cell>
          <cell r="D5">
            <v>52.3</v>
          </cell>
        </row>
        <row r="6">
          <cell r="A6">
            <v>5</v>
          </cell>
          <cell r="B6">
            <v>46149</v>
          </cell>
          <cell r="C6">
            <v>39.1</v>
          </cell>
          <cell r="D6">
            <v>46.9</v>
          </cell>
        </row>
        <row r="7">
          <cell r="A7">
            <v>6</v>
          </cell>
          <cell r="B7">
            <v>46150</v>
          </cell>
          <cell r="C7">
            <v>33.5</v>
          </cell>
          <cell r="D7">
            <v>41.5</v>
          </cell>
        </row>
        <row r="8">
          <cell r="A8">
            <v>7</v>
          </cell>
          <cell r="B8">
            <v>46153</v>
          </cell>
          <cell r="C8">
            <v>27.9</v>
          </cell>
          <cell r="D8">
            <v>36.200000000000003</v>
          </cell>
        </row>
        <row r="9">
          <cell r="A9">
            <v>8</v>
          </cell>
          <cell r="B9">
            <v>46154</v>
          </cell>
          <cell r="C9">
            <v>22.3</v>
          </cell>
          <cell r="D9">
            <v>28.8</v>
          </cell>
        </row>
        <row r="10">
          <cell r="A10">
            <v>9</v>
          </cell>
          <cell r="B10">
            <v>46155</v>
          </cell>
          <cell r="C10">
            <v>16.8</v>
          </cell>
          <cell r="D10">
            <v>20.100000000000001</v>
          </cell>
        </row>
        <row r="11">
          <cell r="A11">
            <v>10</v>
          </cell>
          <cell r="B11">
            <v>46156</v>
          </cell>
          <cell r="C11">
            <v>11.2</v>
          </cell>
          <cell r="D11">
            <v>10.7</v>
          </cell>
        </row>
        <row r="12">
          <cell r="A12">
            <v>11</v>
          </cell>
          <cell r="B12">
            <v>46157</v>
          </cell>
          <cell r="C12">
            <v>5.6</v>
          </cell>
          <cell r="D12">
            <v>4</v>
          </cell>
        </row>
        <row r="13">
          <cell r="A13">
            <v>12</v>
          </cell>
          <cell r="B13">
            <v>46160</v>
          </cell>
          <cell r="C13">
            <v>0</v>
          </cell>
          <cell r="D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4925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51"/>
  <sheetViews>
    <sheetView workbookViewId="0">
      <selection activeCell="C7" sqref="C7:H8"/>
    </sheetView>
  </sheetViews>
  <sheetFormatPr baseColWidth="10" defaultColWidth="9.109375" defaultRowHeight="13.2" x14ac:dyDescent="0.25"/>
  <cols>
    <col min="1" max="1" width="2.6640625" style="35" customWidth="1"/>
    <col min="2" max="2" width="10.33203125" style="35" bestFit="1" customWidth="1"/>
    <col min="3" max="3" width="9.6640625" style="35" customWidth="1"/>
    <col min="4" max="4" width="3.109375" customWidth="1"/>
    <col min="5" max="5" width="9.6640625" style="35" customWidth="1"/>
    <col min="6" max="6" width="9" customWidth="1"/>
    <col min="7" max="7" width="12.6640625" style="35" customWidth="1"/>
    <col min="8" max="8" width="11.77734375" style="35" customWidth="1"/>
    <col min="9" max="9" width="2.88671875" style="35" customWidth="1"/>
    <col min="10" max="16384" width="9.109375" style="35"/>
  </cols>
  <sheetData>
    <row r="4" spans="2:8" ht="15" x14ac:dyDescent="0.25">
      <c r="B4" s="111" t="s">
        <v>0</v>
      </c>
      <c r="C4" s="148" t="s">
        <v>162</v>
      </c>
    </row>
    <row r="6" spans="2:8" x14ac:dyDescent="0.25">
      <c r="B6" s="142" t="s">
        <v>45</v>
      </c>
      <c r="C6" s="143" t="s">
        <v>46</v>
      </c>
      <c r="D6" s="144" t="s">
        <v>47</v>
      </c>
      <c r="E6" s="145" t="s">
        <v>48</v>
      </c>
      <c r="F6" s="146" t="s">
        <v>49</v>
      </c>
      <c r="G6" s="146" t="s">
        <v>50</v>
      </c>
      <c r="H6" s="147" t="s">
        <v>51</v>
      </c>
    </row>
    <row r="7" spans="2:8" x14ac:dyDescent="0.25">
      <c r="B7"/>
      <c r="C7" s="112" t="s">
        <v>52</v>
      </c>
      <c r="D7" s="113" t="s">
        <v>53</v>
      </c>
      <c r="E7" s="114" t="s">
        <v>54</v>
      </c>
      <c r="F7" s="115" t="s">
        <v>54</v>
      </c>
      <c r="G7" s="115" t="s">
        <v>55</v>
      </c>
      <c r="H7" s="116" t="s">
        <v>56</v>
      </c>
    </row>
    <row r="8" spans="2:8" x14ac:dyDescent="0.25">
      <c r="B8"/>
      <c r="C8" s="117" t="s">
        <v>57</v>
      </c>
      <c r="D8" s="118" t="s">
        <v>58</v>
      </c>
      <c r="E8" s="118" t="s">
        <v>54</v>
      </c>
      <c r="F8" s="119" t="s">
        <v>54</v>
      </c>
      <c r="G8" s="118" t="s">
        <v>59</v>
      </c>
      <c r="H8" s="118" t="s">
        <v>56</v>
      </c>
    </row>
    <row r="9" spans="2:8" x14ac:dyDescent="0.25">
      <c r="B9"/>
      <c r="C9" s="117" t="s">
        <v>60</v>
      </c>
      <c r="D9" s="118" t="s">
        <v>61</v>
      </c>
      <c r="E9" s="118" t="s">
        <v>54</v>
      </c>
      <c r="F9" s="119" t="s">
        <v>54</v>
      </c>
      <c r="G9" s="118" t="s">
        <v>62</v>
      </c>
      <c r="H9" s="118" t="s">
        <v>56</v>
      </c>
    </row>
    <row r="10" spans="2:8" ht="9" customHeight="1" x14ac:dyDescent="0.25">
      <c r="B10"/>
      <c r="C10" s="117" t="s">
        <v>63</v>
      </c>
      <c r="D10" s="118" t="s">
        <v>64</v>
      </c>
      <c r="E10" s="118" t="s">
        <v>54</v>
      </c>
      <c r="F10" s="119" t="s">
        <v>54</v>
      </c>
      <c r="G10" s="118" t="s">
        <v>65</v>
      </c>
      <c r="H10" s="118" t="s">
        <v>56</v>
      </c>
    </row>
    <row r="11" spans="2:8" x14ac:dyDescent="0.25">
      <c r="B11"/>
      <c r="C11" s="117" t="s">
        <v>66</v>
      </c>
      <c r="D11" s="118" t="s">
        <v>67</v>
      </c>
      <c r="E11" s="118" t="s">
        <v>54</v>
      </c>
      <c r="F11" s="119" t="s">
        <v>54</v>
      </c>
      <c r="G11" s="118" t="s">
        <v>68</v>
      </c>
      <c r="H11" s="118" t="s">
        <v>56</v>
      </c>
    </row>
    <row r="12" spans="2:8" x14ac:dyDescent="0.25">
      <c r="B12"/>
      <c r="C12" s="117" t="s">
        <v>69</v>
      </c>
      <c r="D12" s="118" t="s">
        <v>70</v>
      </c>
      <c r="E12" s="118" t="s">
        <v>54</v>
      </c>
      <c r="F12" s="119" t="s">
        <v>54</v>
      </c>
      <c r="G12" s="118" t="s">
        <v>71</v>
      </c>
      <c r="H12" s="118" t="s">
        <v>56</v>
      </c>
    </row>
    <row r="13" spans="2:8" x14ac:dyDescent="0.25">
      <c r="C13" s="117" t="s">
        <v>1</v>
      </c>
      <c r="D13" s="118" t="s">
        <v>1</v>
      </c>
      <c r="E13" s="118" t="s">
        <v>2</v>
      </c>
      <c r="F13" s="119" t="s">
        <v>3</v>
      </c>
      <c r="G13" s="118" t="s">
        <v>4</v>
      </c>
      <c r="H13" s="118" t="s">
        <v>5</v>
      </c>
    </row>
    <row r="14" spans="2:8" x14ac:dyDescent="0.25">
      <c r="C14" s="117" t="s">
        <v>6</v>
      </c>
      <c r="D14" s="118" t="s">
        <v>6</v>
      </c>
      <c r="E14" s="118" t="s">
        <v>2</v>
      </c>
      <c r="F14" s="119" t="s">
        <v>3</v>
      </c>
      <c r="G14" s="118" t="s">
        <v>4</v>
      </c>
      <c r="H14" s="118" t="s">
        <v>5</v>
      </c>
    </row>
    <row r="15" spans="2:8" x14ac:dyDescent="0.25">
      <c r="C15" s="117" t="s">
        <v>6</v>
      </c>
      <c r="D15" s="118" t="s">
        <v>6</v>
      </c>
      <c r="E15" s="118" t="s">
        <v>2</v>
      </c>
      <c r="F15" s="119" t="s">
        <v>3</v>
      </c>
      <c r="G15" s="118" t="s">
        <v>4</v>
      </c>
      <c r="H15" s="118" t="s">
        <v>5</v>
      </c>
    </row>
    <row r="16" spans="2:8" x14ac:dyDescent="0.25">
      <c r="C16" s="117"/>
      <c r="D16" s="118"/>
      <c r="E16" s="118"/>
      <c r="F16" s="119"/>
      <c r="G16" s="118"/>
      <c r="H16" s="118"/>
    </row>
    <row r="17" spans="3:8" x14ac:dyDescent="0.25">
      <c r="C17" s="117"/>
      <c r="D17" s="118"/>
      <c r="E17" s="118"/>
      <c r="F17" s="119"/>
      <c r="G17" s="118"/>
      <c r="H17" s="118"/>
    </row>
    <row r="18" spans="3:8" x14ac:dyDescent="0.25">
      <c r="C18" s="117"/>
      <c r="D18" s="118"/>
      <c r="E18" s="118"/>
      <c r="F18" s="119"/>
      <c r="G18" s="118"/>
      <c r="H18" s="118"/>
    </row>
    <row r="19" spans="3:8" x14ac:dyDescent="0.25">
      <c r="C19" s="117"/>
      <c r="D19" s="118"/>
      <c r="E19" s="118"/>
      <c r="F19" s="119"/>
      <c r="G19" s="118"/>
      <c r="H19" s="118"/>
    </row>
    <row r="20" spans="3:8" x14ac:dyDescent="0.25">
      <c r="C20" s="117"/>
      <c r="D20" s="118"/>
      <c r="E20" s="118"/>
      <c r="F20" s="119"/>
      <c r="G20" s="118"/>
      <c r="H20" s="118"/>
    </row>
    <row r="21" spans="3:8" x14ac:dyDescent="0.25">
      <c r="C21" s="117"/>
      <c r="D21" s="118"/>
      <c r="E21" s="118"/>
      <c r="F21" s="119"/>
      <c r="G21" s="118"/>
      <c r="H21" s="118"/>
    </row>
    <row r="22" spans="3:8" x14ac:dyDescent="0.25">
      <c r="C22" s="117"/>
      <c r="D22" s="118"/>
      <c r="E22" s="118"/>
      <c r="F22" s="119"/>
      <c r="G22" s="118"/>
      <c r="H22" s="118"/>
    </row>
    <row r="23" spans="3:8" x14ac:dyDescent="0.25">
      <c r="C23" s="117"/>
      <c r="D23" s="118"/>
      <c r="E23" s="118"/>
      <c r="F23" s="119"/>
      <c r="G23" s="118"/>
      <c r="H23" s="118"/>
    </row>
    <row r="24" spans="3:8" x14ac:dyDescent="0.25">
      <c r="C24" s="117"/>
      <c r="D24" s="118"/>
      <c r="E24" s="118"/>
      <c r="F24" s="119"/>
      <c r="G24" s="118"/>
      <c r="H24" s="118"/>
    </row>
    <row r="25" spans="3:8" x14ac:dyDescent="0.25">
      <c r="C25" s="120"/>
      <c r="D25" s="121"/>
      <c r="E25" s="121"/>
      <c r="F25" s="122"/>
      <c r="G25" s="123"/>
      <c r="H25" s="124"/>
    </row>
    <row r="41" spans="7:9" x14ac:dyDescent="0.25">
      <c r="G41" s="111"/>
      <c r="I41" s="125"/>
    </row>
    <row r="43" spans="7:9" x14ac:dyDescent="0.25">
      <c r="G43" s="111"/>
      <c r="H43" s="125"/>
      <c r="I43" s="125"/>
    </row>
    <row r="51" spans="4:4" x14ac:dyDescent="0.25">
      <c r="D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L45"/>
  <sheetViews>
    <sheetView workbookViewId="0"/>
  </sheetViews>
  <sheetFormatPr baseColWidth="10" defaultColWidth="9.109375" defaultRowHeight="13.2" x14ac:dyDescent="0.25"/>
  <cols>
    <col min="1" max="1" width="2.33203125" style="35" customWidth="1"/>
    <col min="2" max="2" width="23.44140625" style="36" customWidth="1"/>
    <col min="3" max="4" width="6.5546875" style="36" customWidth="1"/>
    <col min="5" max="5" width="7.88671875" style="35" customWidth="1"/>
    <col min="6" max="6" width="15.5546875" style="35" customWidth="1"/>
    <col min="7" max="7" width="9.88671875" style="35" customWidth="1"/>
    <col min="8" max="8" width="1.88671875" style="35" customWidth="1"/>
    <col min="9" max="9" width="0.5546875" style="35" customWidth="1"/>
    <col min="10" max="10" width="1.6640625" style="35" customWidth="1"/>
    <col min="11" max="11" width="0.5546875" style="35" customWidth="1"/>
    <col min="12" max="12" width="1.77734375" customWidth="1"/>
    <col min="13" max="14" width="0.5546875" style="35" customWidth="1"/>
    <col min="15" max="15" width="1.6640625" customWidth="1"/>
    <col min="16" max="16" width="0.5546875" style="35" customWidth="1"/>
    <col min="17" max="17" width="1.77734375" style="35" customWidth="1"/>
    <col min="18" max="19" width="0.5546875" customWidth="1"/>
    <col min="20" max="20" width="1.6640625" customWidth="1"/>
    <col min="21" max="22" width="8.88671875"/>
    <col min="23" max="23" width="12.21875" style="35" customWidth="1"/>
    <col min="24" max="28" width="3" style="35" customWidth="1"/>
    <col min="29" max="38" width="9.109375" style="35"/>
    <col min="39" max="16384" width="9.109375" style="5"/>
  </cols>
  <sheetData>
    <row r="2" spans="2:28" x14ac:dyDescent="0.25">
      <c r="B2" s="37" t="s">
        <v>7</v>
      </c>
      <c r="C2" s="38"/>
      <c r="D2" s="39" t="str">
        <f ca="1">TEXT(E2,"ddd")</f>
        <v>Fri</v>
      </c>
      <c r="E2" s="40">
        <f ca="1">TODAY()</f>
        <v>46143</v>
      </c>
    </row>
    <row r="3" spans="2:28" x14ac:dyDescent="0.25">
      <c r="B3" s="41" t="s">
        <v>8</v>
      </c>
      <c r="C3" s="42"/>
      <c r="D3" s="43" t="str">
        <f>TEXT(E3,"ddd")</f>
        <v>Fri</v>
      </c>
      <c r="E3" s="149">
        <v>46143</v>
      </c>
    </row>
    <row r="4" spans="2:28" x14ac:dyDescent="0.25">
      <c r="D4" s="35"/>
      <c r="E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2:28" ht="15" x14ac:dyDescent="0.25">
      <c r="B5" s="177" t="s">
        <v>9</v>
      </c>
      <c r="C5" s="178"/>
      <c r="D5" s="178"/>
      <c r="E5" s="178"/>
      <c r="F5" s="178"/>
      <c r="G5" s="179"/>
      <c r="I5" s="46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9"/>
      <c r="X5" s="48"/>
      <c r="Y5" s="48"/>
      <c r="Z5" s="48"/>
      <c r="AA5" s="48"/>
      <c r="AB5" s="50"/>
    </row>
    <row r="6" spans="2:28" ht="26.4" x14ac:dyDescent="0.25">
      <c r="B6" s="51" t="s">
        <v>10</v>
      </c>
      <c r="C6" s="52">
        <v>8</v>
      </c>
      <c r="D6" s="53"/>
      <c r="E6" s="141" t="s">
        <v>11</v>
      </c>
      <c r="F6" s="54">
        <v>12</v>
      </c>
      <c r="G6" s="55"/>
      <c r="I6" s="167">
        <v>46143</v>
      </c>
      <c r="J6" s="168">
        <f t="shared" ref="J6:O6" si="0">I6+1</f>
        <v>46144</v>
      </c>
      <c r="K6" s="168">
        <f t="shared" si="0"/>
        <v>46145</v>
      </c>
      <c r="L6" s="168">
        <f t="shared" si="0"/>
        <v>46146</v>
      </c>
      <c r="M6" s="168">
        <f t="shared" si="0"/>
        <v>46147</v>
      </c>
      <c r="N6" s="168">
        <f t="shared" si="0"/>
        <v>46148</v>
      </c>
      <c r="O6" s="168">
        <f t="shared" si="0"/>
        <v>46149</v>
      </c>
      <c r="P6" s="167">
        <v>46154</v>
      </c>
      <c r="Q6" s="168">
        <f t="shared" ref="Q6:V6" si="1">P6+1</f>
        <v>46155</v>
      </c>
      <c r="R6" s="168">
        <f t="shared" si="1"/>
        <v>46156</v>
      </c>
      <c r="S6" s="168">
        <f t="shared" si="1"/>
        <v>46157</v>
      </c>
      <c r="T6" s="168">
        <f t="shared" si="1"/>
        <v>46158</v>
      </c>
      <c r="U6" s="56">
        <f t="shared" si="1"/>
        <v>46159</v>
      </c>
      <c r="V6" s="56">
        <f t="shared" si="1"/>
        <v>46160</v>
      </c>
      <c r="W6" s="180"/>
      <c r="X6" s="181"/>
      <c r="Y6" s="181"/>
      <c r="Z6" s="181"/>
      <c r="AA6" s="181"/>
      <c r="AB6" s="182"/>
    </row>
    <row r="7" spans="2:28" ht="23.4" customHeight="1" x14ac:dyDescent="0.25">
      <c r="B7" s="57"/>
      <c r="C7" s="58"/>
      <c r="D7" s="53"/>
      <c r="E7" s="59" t="s">
        <v>12</v>
      </c>
      <c r="F7" s="59" t="s">
        <v>13</v>
      </c>
      <c r="G7" s="60" t="s">
        <v>14</v>
      </c>
      <c r="I7" s="169" t="s">
        <v>72</v>
      </c>
      <c r="J7" s="170" t="s">
        <v>73</v>
      </c>
      <c r="K7" s="170" t="s">
        <v>74</v>
      </c>
      <c r="L7" s="170" t="s">
        <v>75</v>
      </c>
      <c r="M7" s="170" t="s">
        <v>74</v>
      </c>
      <c r="N7" s="170" t="s">
        <v>72</v>
      </c>
      <c r="O7" s="171" t="s">
        <v>73</v>
      </c>
      <c r="P7" s="169" t="s">
        <v>74</v>
      </c>
      <c r="Q7" s="170" t="s">
        <v>75</v>
      </c>
      <c r="R7" s="170" t="s">
        <v>74</v>
      </c>
      <c r="S7" s="170" t="s">
        <v>72</v>
      </c>
      <c r="T7" s="170" t="s">
        <v>73</v>
      </c>
      <c r="U7" s="61"/>
      <c r="V7" s="62"/>
      <c r="W7" s="183" t="s">
        <v>76</v>
      </c>
      <c r="X7" s="184"/>
      <c r="Y7" s="184"/>
      <c r="Z7" s="184"/>
      <c r="AA7" s="184"/>
      <c r="AB7" s="185"/>
    </row>
    <row r="8" spans="2:28" ht="26.4" x14ac:dyDescent="0.25">
      <c r="B8" s="63" t="s">
        <v>15</v>
      </c>
      <c r="C8" s="64">
        <f>SUM(G8:G25)</f>
        <v>340</v>
      </c>
      <c r="D8" s="65"/>
      <c r="E8" s="66" t="s">
        <v>53</v>
      </c>
      <c r="F8" s="67">
        <v>1</v>
      </c>
      <c r="G8" s="68">
        <v>80</v>
      </c>
      <c r="H8" s="69"/>
      <c r="I8" s="75">
        <f t="shared" ref="I8:J18" ca="1" si="2">IF(I$6&lt;$E$3,0,IF(ISBLANK($E8),0,IF(I$6&lt;$E$2,0,1)))</f>
        <v>1</v>
      </c>
      <c r="J8" s="76">
        <f t="shared" ca="1" si="2"/>
        <v>1</v>
      </c>
      <c r="K8" s="76">
        <f t="shared" ref="K8:M23" ca="1" si="3">IF(K$6&lt;$E$3,0,IF(ISBLANK($E8),0,IF(K$6&lt;$E$2,0,1)))</f>
        <v>1</v>
      </c>
      <c r="L8" s="76">
        <f t="shared" ca="1" si="3"/>
        <v>1</v>
      </c>
      <c r="M8" s="76">
        <f t="shared" ca="1" si="3"/>
        <v>1</v>
      </c>
      <c r="N8" s="70">
        <v>8</v>
      </c>
      <c r="O8" s="71">
        <v>8</v>
      </c>
      <c r="P8" s="75">
        <f t="shared" ref="P8:T18" ca="1" si="4">IF(P$6&lt;$E$3,0,IF(ISBLANK($E8),0,IF(P$6&lt;$E$2,0,1)))</f>
        <v>1</v>
      </c>
      <c r="Q8" s="76">
        <f t="shared" ca="1" si="4"/>
        <v>1</v>
      </c>
      <c r="R8" s="76">
        <f t="shared" ca="1" si="4"/>
        <v>1</v>
      </c>
      <c r="S8" s="76">
        <f t="shared" ca="1" si="4"/>
        <v>1</v>
      </c>
      <c r="T8" s="76">
        <f t="shared" ca="1" si="4"/>
        <v>1</v>
      </c>
      <c r="U8" s="70"/>
      <c r="V8" s="71"/>
      <c r="W8" s="174">
        <f t="shared" ref="W8:W25" ca="1" si="5">IF(E8="unassigned",0,(COUNTIF(I8:V8,1)*$C$6)*F8)</f>
        <v>80</v>
      </c>
      <c r="X8" s="175"/>
      <c r="Y8" s="175"/>
      <c r="Z8" s="175"/>
      <c r="AA8" s="175"/>
      <c r="AB8" s="176"/>
    </row>
    <row r="9" spans="2:28" x14ac:dyDescent="0.25">
      <c r="B9" s="72" t="s">
        <v>16</v>
      </c>
      <c r="C9" s="64">
        <f ca="1">SUM(W8:AB25)</f>
        <v>340</v>
      </c>
      <c r="D9" s="73"/>
      <c r="E9" s="15" t="s">
        <v>58</v>
      </c>
      <c r="F9" s="74">
        <v>1</v>
      </c>
      <c r="G9" s="68">
        <v>80</v>
      </c>
      <c r="H9" s="69"/>
      <c r="I9" s="75">
        <f t="shared" ca="1" si="2"/>
        <v>1</v>
      </c>
      <c r="J9" s="76">
        <f t="shared" ca="1" si="2"/>
        <v>1</v>
      </c>
      <c r="K9" s="76">
        <f t="shared" ca="1" si="3"/>
        <v>1</v>
      </c>
      <c r="L9" s="76">
        <f t="shared" ca="1" si="3"/>
        <v>1</v>
      </c>
      <c r="M9" s="76">
        <f t="shared" ca="1" si="3"/>
        <v>1</v>
      </c>
      <c r="N9" s="77">
        <v>8</v>
      </c>
      <c r="O9" s="78">
        <v>8</v>
      </c>
      <c r="P9" s="75">
        <f t="shared" ca="1" si="4"/>
        <v>1</v>
      </c>
      <c r="Q9" s="76">
        <f t="shared" ca="1" si="4"/>
        <v>1</v>
      </c>
      <c r="R9" s="76">
        <f t="shared" ca="1" si="4"/>
        <v>1</v>
      </c>
      <c r="S9" s="76">
        <f t="shared" ca="1" si="4"/>
        <v>1</v>
      </c>
      <c r="T9" s="76">
        <f t="shared" ca="1" si="4"/>
        <v>1</v>
      </c>
      <c r="U9" s="77"/>
      <c r="V9" s="78"/>
      <c r="W9" s="174">
        <f t="shared" ca="1" si="5"/>
        <v>80</v>
      </c>
      <c r="X9" s="175"/>
      <c r="Y9" s="175"/>
      <c r="Z9" s="175"/>
      <c r="AA9" s="175"/>
      <c r="AB9" s="176"/>
    </row>
    <row r="10" spans="2:28" x14ac:dyDescent="0.25">
      <c r="B10" s="79" t="s">
        <v>17</v>
      </c>
      <c r="C10" s="80">
        <f ca="1">C8-C9</f>
        <v>0</v>
      </c>
      <c r="D10" s="53"/>
      <c r="E10" s="15" t="s">
        <v>61</v>
      </c>
      <c r="F10" s="74">
        <v>0.75</v>
      </c>
      <c r="G10" s="68">
        <v>60</v>
      </c>
      <c r="H10" s="69"/>
      <c r="I10" s="75">
        <f t="shared" ca="1" si="2"/>
        <v>1</v>
      </c>
      <c r="J10" s="76">
        <f t="shared" ca="1" si="2"/>
        <v>1</v>
      </c>
      <c r="K10" s="76">
        <f t="shared" ca="1" si="3"/>
        <v>1</v>
      </c>
      <c r="L10" s="76">
        <f t="shared" ca="1" si="3"/>
        <v>1</v>
      </c>
      <c r="M10" s="76">
        <f t="shared" ca="1" si="3"/>
        <v>1</v>
      </c>
      <c r="N10" s="77">
        <v>6</v>
      </c>
      <c r="O10" s="78">
        <v>6</v>
      </c>
      <c r="P10" s="75">
        <f t="shared" ca="1" si="4"/>
        <v>1</v>
      </c>
      <c r="Q10" s="76">
        <f t="shared" ca="1" si="4"/>
        <v>1</v>
      </c>
      <c r="R10" s="76">
        <f t="shared" ca="1" si="4"/>
        <v>1</v>
      </c>
      <c r="S10" s="76">
        <f t="shared" ca="1" si="4"/>
        <v>1</v>
      </c>
      <c r="T10" s="76">
        <f t="shared" ca="1" si="4"/>
        <v>1</v>
      </c>
      <c r="U10" s="77"/>
      <c r="V10" s="78"/>
      <c r="W10" s="174">
        <f t="shared" ca="1" si="5"/>
        <v>60</v>
      </c>
      <c r="X10" s="175"/>
      <c r="Y10" s="175"/>
      <c r="Z10" s="175"/>
      <c r="AA10" s="175"/>
      <c r="AB10" s="176"/>
    </row>
    <row r="11" spans="2:28" x14ac:dyDescent="0.25">
      <c r="B11" s="81"/>
      <c r="D11" s="82"/>
      <c r="E11" s="15" t="s">
        <v>64</v>
      </c>
      <c r="F11" s="74">
        <v>0.75</v>
      </c>
      <c r="G11" s="68">
        <v>60</v>
      </c>
      <c r="H11" s="69"/>
      <c r="I11" s="75">
        <f t="shared" ca="1" si="2"/>
        <v>1</v>
      </c>
      <c r="J11" s="76">
        <f t="shared" ca="1" si="2"/>
        <v>1</v>
      </c>
      <c r="K11" s="76">
        <f t="shared" ca="1" si="3"/>
        <v>1</v>
      </c>
      <c r="L11" s="76">
        <f t="shared" ca="1" si="3"/>
        <v>1</v>
      </c>
      <c r="M11" s="76">
        <f t="shared" ca="1" si="3"/>
        <v>1</v>
      </c>
      <c r="N11" s="77">
        <v>6</v>
      </c>
      <c r="O11" s="78">
        <v>6</v>
      </c>
      <c r="P11" s="75">
        <f t="shared" ca="1" si="4"/>
        <v>1</v>
      </c>
      <c r="Q11" s="76">
        <f t="shared" ca="1" si="4"/>
        <v>1</v>
      </c>
      <c r="R11" s="76">
        <f t="shared" ca="1" si="4"/>
        <v>1</v>
      </c>
      <c r="S11" s="76">
        <f t="shared" ca="1" si="4"/>
        <v>1</v>
      </c>
      <c r="T11" s="76">
        <f t="shared" ca="1" si="4"/>
        <v>1</v>
      </c>
      <c r="U11" s="77"/>
      <c r="V11" s="78"/>
      <c r="W11" s="174">
        <f t="shared" ca="1" si="5"/>
        <v>60</v>
      </c>
      <c r="X11" s="175"/>
      <c r="Y11" s="175"/>
      <c r="Z11" s="175"/>
      <c r="AA11" s="175"/>
      <c r="AB11" s="176"/>
    </row>
    <row r="12" spans="2:28" x14ac:dyDescent="0.25">
      <c r="B12" s="81"/>
      <c r="D12" s="82"/>
      <c r="E12" s="15" t="s">
        <v>67</v>
      </c>
      <c r="F12" s="74">
        <v>0.5</v>
      </c>
      <c r="G12" s="68">
        <v>40</v>
      </c>
      <c r="H12" s="69"/>
      <c r="I12" s="75">
        <f t="shared" ca="1" si="2"/>
        <v>1</v>
      </c>
      <c r="J12" s="76">
        <f t="shared" ca="1" si="2"/>
        <v>1</v>
      </c>
      <c r="K12" s="76">
        <f t="shared" ca="1" si="3"/>
        <v>1</v>
      </c>
      <c r="L12" s="76">
        <f t="shared" ca="1" si="3"/>
        <v>1</v>
      </c>
      <c r="M12" s="76">
        <f t="shared" ca="1" si="3"/>
        <v>1</v>
      </c>
      <c r="N12" s="77">
        <v>4</v>
      </c>
      <c r="O12" s="78">
        <v>4</v>
      </c>
      <c r="P12" s="75">
        <f t="shared" ca="1" si="4"/>
        <v>1</v>
      </c>
      <c r="Q12" s="76">
        <f t="shared" ca="1" si="4"/>
        <v>1</v>
      </c>
      <c r="R12" s="76">
        <f t="shared" ca="1" si="4"/>
        <v>1</v>
      </c>
      <c r="S12" s="76">
        <f t="shared" ca="1" si="4"/>
        <v>1</v>
      </c>
      <c r="T12" s="76">
        <f t="shared" ca="1" si="4"/>
        <v>1</v>
      </c>
      <c r="U12" s="77"/>
      <c r="V12" s="78"/>
      <c r="W12" s="174">
        <f t="shared" ca="1" si="5"/>
        <v>40</v>
      </c>
      <c r="X12" s="175"/>
      <c r="Y12" s="175"/>
      <c r="Z12" s="175"/>
      <c r="AA12" s="175"/>
      <c r="AB12" s="176"/>
    </row>
    <row r="13" spans="2:28" x14ac:dyDescent="0.25">
      <c r="B13" s="81"/>
      <c r="E13" s="15" t="s">
        <v>70</v>
      </c>
      <c r="F13" s="74">
        <v>0.25</v>
      </c>
      <c r="G13" s="68">
        <v>20</v>
      </c>
      <c r="H13" s="69"/>
      <c r="I13" s="75">
        <f t="shared" ca="1" si="2"/>
        <v>1</v>
      </c>
      <c r="J13" s="76">
        <f t="shared" ca="1" si="2"/>
        <v>1</v>
      </c>
      <c r="K13" s="76">
        <f t="shared" ca="1" si="3"/>
        <v>1</v>
      </c>
      <c r="L13" s="76">
        <f t="shared" ca="1" si="3"/>
        <v>1</v>
      </c>
      <c r="M13" s="76">
        <f t="shared" ca="1" si="3"/>
        <v>1</v>
      </c>
      <c r="N13" s="77">
        <v>2</v>
      </c>
      <c r="O13" s="78">
        <v>2</v>
      </c>
      <c r="P13" s="75">
        <f t="shared" ca="1" si="4"/>
        <v>1</v>
      </c>
      <c r="Q13" s="76">
        <f t="shared" ca="1" si="4"/>
        <v>1</v>
      </c>
      <c r="R13" s="76">
        <f t="shared" ca="1" si="4"/>
        <v>1</v>
      </c>
      <c r="S13" s="76">
        <f t="shared" ca="1" si="4"/>
        <v>1</v>
      </c>
      <c r="T13" s="76">
        <f t="shared" ca="1" si="4"/>
        <v>1</v>
      </c>
      <c r="U13" s="77"/>
      <c r="V13" s="78"/>
      <c r="W13" s="174">
        <f t="shared" ca="1" si="5"/>
        <v>20</v>
      </c>
      <c r="X13" s="175"/>
      <c r="Y13" s="175"/>
      <c r="Z13" s="175"/>
      <c r="AA13" s="175"/>
      <c r="AB13" s="176"/>
    </row>
    <row r="14" spans="2:28" x14ac:dyDescent="0.25">
      <c r="B14" s="81"/>
      <c r="D14" s="53"/>
      <c r="E14" s="15"/>
      <c r="F14" s="74"/>
      <c r="G14" s="68">
        <f>SUMIF(Sprint!$F$4:$F$1859,E14,Sprint!$AX$4:$AX$1859)</f>
        <v>0</v>
      </c>
      <c r="H14" s="69"/>
      <c r="I14" s="75">
        <f t="shared" si="2"/>
        <v>0</v>
      </c>
      <c r="J14" s="76">
        <f t="shared" si="2"/>
        <v>0</v>
      </c>
      <c r="K14" s="76">
        <f t="shared" si="3"/>
        <v>0</v>
      </c>
      <c r="L14" s="76">
        <f t="shared" si="3"/>
        <v>0</v>
      </c>
      <c r="M14" s="76">
        <f t="shared" si="3"/>
        <v>0</v>
      </c>
      <c r="N14" s="77"/>
      <c r="O14" s="78"/>
      <c r="P14" s="75">
        <f t="shared" si="4"/>
        <v>0</v>
      </c>
      <c r="Q14" s="76">
        <f t="shared" si="4"/>
        <v>0</v>
      </c>
      <c r="R14" s="76">
        <f t="shared" si="4"/>
        <v>0</v>
      </c>
      <c r="S14" s="76">
        <f t="shared" si="4"/>
        <v>0</v>
      </c>
      <c r="T14" s="76">
        <f t="shared" si="4"/>
        <v>0</v>
      </c>
      <c r="U14" s="77"/>
      <c r="V14" s="78"/>
      <c r="W14" s="174">
        <f t="shared" si="5"/>
        <v>0</v>
      </c>
      <c r="X14" s="175"/>
      <c r="Y14" s="175"/>
      <c r="Z14" s="175"/>
      <c r="AA14" s="175"/>
      <c r="AB14" s="176"/>
    </row>
    <row r="15" spans="2:28" x14ac:dyDescent="0.25">
      <c r="B15" s="81"/>
      <c r="D15" s="53"/>
      <c r="E15" s="15"/>
      <c r="F15" s="74"/>
      <c r="G15" s="68">
        <f>SUMIF(Sprint!$F$4:$F$1859,E15,Sprint!$AX$4:$AX$1859)</f>
        <v>0</v>
      </c>
      <c r="H15" s="69"/>
      <c r="I15" s="75">
        <f t="shared" si="2"/>
        <v>0</v>
      </c>
      <c r="J15" s="76">
        <f t="shared" si="2"/>
        <v>0</v>
      </c>
      <c r="K15" s="76">
        <f t="shared" si="3"/>
        <v>0</v>
      </c>
      <c r="L15" s="76">
        <f t="shared" si="3"/>
        <v>0</v>
      </c>
      <c r="M15" s="76">
        <f t="shared" si="3"/>
        <v>0</v>
      </c>
      <c r="N15" s="77"/>
      <c r="O15" s="78"/>
      <c r="P15" s="75">
        <f t="shared" si="4"/>
        <v>0</v>
      </c>
      <c r="Q15" s="76">
        <f t="shared" si="4"/>
        <v>0</v>
      </c>
      <c r="R15" s="76">
        <f t="shared" si="4"/>
        <v>0</v>
      </c>
      <c r="S15" s="76">
        <f t="shared" si="4"/>
        <v>0</v>
      </c>
      <c r="T15" s="76">
        <f t="shared" si="4"/>
        <v>0</v>
      </c>
      <c r="U15" s="77"/>
      <c r="V15" s="78"/>
      <c r="W15" s="174">
        <f t="shared" si="5"/>
        <v>0</v>
      </c>
      <c r="X15" s="175"/>
      <c r="Y15" s="175"/>
      <c r="Z15" s="175"/>
      <c r="AA15" s="175"/>
      <c r="AB15" s="176"/>
    </row>
    <row r="16" spans="2:28" x14ac:dyDescent="0.25">
      <c r="B16" s="81"/>
      <c r="E16" s="15"/>
      <c r="F16" s="74"/>
      <c r="G16" s="68">
        <f>SUMIF(Sprint!$F$4:$F$1859,E16,Sprint!$AX$4:$AX$1859)</f>
        <v>0</v>
      </c>
      <c r="H16" s="69"/>
      <c r="I16" s="75">
        <f t="shared" si="2"/>
        <v>0</v>
      </c>
      <c r="J16" s="76">
        <f t="shared" si="2"/>
        <v>0</v>
      </c>
      <c r="K16" s="76">
        <f t="shared" si="3"/>
        <v>0</v>
      </c>
      <c r="L16" s="76">
        <f t="shared" si="3"/>
        <v>0</v>
      </c>
      <c r="M16" s="76">
        <f t="shared" si="3"/>
        <v>0</v>
      </c>
      <c r="N16" s="77"/>
      <c r="O16" s="78"/>
      <c r="P16" s="75">
        <f t="shared" si="4"/>
        <v>0</v>
      </c>
      <c r="Q16" s="76">
        <f t="shared" si="4"/>
        <v>0</v>
      </c>
      <c r="R16" s="76">
        <f t="shared" si="4"/>
        <v>0</v>
      </c>
      <c r="S16" s="76">
        <f t="shared" si="4"/>
        <v>0</v>
      </c>
      <c r="T16" s="76">
        <f t="shared" si="4"/>
        <v>0</v>
      </c>
      <c r="U16" s="77"/>
      <c r="V16" s="78"/>
      <c r="W16" s="174">
        <f t="shared" si="5"/>
        <v>0</v>
      </c>
      <c r="X16" s="175"/>
      <c r="Y16" s="175"/>
      <c r="Z16" s="175"/>
      <c r="AA16" s="175"/>
      <c r="AB16" s="176"/>
    </row>
    <row r="17" spans="2:28" x14ac:dyDescent="0.25">
      <c r="B17" s="81"/>
      <c r="E17" s="15"/>
      <c r="F17" s="74"/>
      <c r="G17" s="68">
        <f>SUMIF(Sprint!$F$4:$F$1859,E17,Sprint!$AX$4:$AX$1859)</f>
        <v>0</v>
      </c>
      <c r="H17" s="83"/>
      <c r="I17" s="75">
        <f t="shared" si="2"/>
        <v>0</v>
      </c>
      <c r="J17" s="76">
        <f t="shared" si="2"/>
        <v>0</v>
      </c>
      <c r="K17" s="76">
        <f t="shared" si="3"/>
        <v>0</v>
      </c>
      <c r="L17" s="76">
        <f t="shared" si="3"/>
        <v>0</v>
      </c>
      <c r="M17" s="76">
        <f t="shared" si="3"/>
        <v>0</v>
      </c>
      <c r="N17" s="77"/>
      <c r="O17" s="78"/>
      <c r="P17" s="75">
        <f t="shared" si="4"/>
        <v>0</v>
      </c>
      <c r="Q17" s="76">
        <f t="shared" si="4"/>
        <v>0</v>
      </c>
      <c r="R17" s="76">
        <f t="shared" si="4"/>
        <v>0</v>
      </c>
      <c r="S17" s="76">
        <f t="shared" si="4"/>
        <v>0</v>
      </c>
      <c r="T17" s="76">
        <f t="shared" si="4"/>
        <v>0</v>
      </c>
      <c r="U17" s="77"/>
      <c r="V17" s="78"/>
      <c r="W17" s="174">
        <f t="shared" si="5"/>
        <v>0</v>
      </c>
      <c r="X17" s="175"/>
      <c r="Y17" s="175"/>
      <c r="Z17" s="175"/>
      <c r="AA17" s="175"/>
      <c r="AB17" s="176"/>
    </row>
    <row r="18" spans="2:28" x14ac:dyDescent="0.25">
      <c r="B18" s="81"/>
      <c r="E18" s="15"/>
      <c r="F18" s="74"/>
      <c r="G18" s="68">
        <f>SUMIF(Sprint!$F$4:$F$1859,E18,Sprint!$AX$4:$AX$1859)</f>
        <v>0</v>
      </c>
      <c r="H18" s="83"/>
      <c r="I18" s="75">
        <f t="shared" si="2"/>
        <v>0</v>
      </c>
      <c r="J18" s="76">
        <f t="shared" si="2"/>
        <v>0</v>
      </c>
      <c r="K18" s="76">
        <f t="shared" si="3"/>
        <v>0</v>
      </c>
      <c r="L18" s="76">
        <f t="shared" si="3"/>
        <v>0</v>
      </c>
      <c r="M18" s="76">
        <f t="shared" si="3"/>
        <v>0</v>
      </c>
      <c r="N18" s="77"/>
      <c r="O18" s="78"/>
      <c r="P18" s="75">
        <f t="shared" si="4"/>
        <v>0</v>
      </c>
      <c r="Q18" s="76">
        <f t="shared" si="4"/>
        <v>0</v>
      </c>
      <c r="R18" s="76">
        <f t="shared" si="4"/>
        <v>0</v>
      </c>
      <c r="S18" s="76">
        <f t="shared" si="4"/>
        <v>0</v>
      </c>
      <c r="T18" s="76">
        <f t="shared" si="4"/>
        <v>0</v>
      </c>
      <c r="U18" s="77"/>
      <c r="V18" s="78"/>
      <c r="W18" s="174">
        <f t="shared" si="5"/>
        <v>0</v>
      </c>
      <c r="X18" s="175"/>
      <c r="Y18" s="175"/>
      <c r="Z18" s="175"/>
      <c r="AA18" s="175"/>
      <c r="AB18" s="176"/>
    </row>
    <row r="19" spans="2:28" x14ac:dyDescent="0.25">
      <c r="B19" s="81"/>
      <c r="E19" s="15"/>
      <c r="F19" s="74"/>
      <c r="G19" s="68">
        <f>SUMIF(Sprint!$F$4:$F$1859,E19,Sprint!$AX$4:$AX$1859)</f>
        <v>0</v>
      </c>
      <c r="H19" s="83"/>
      <c r="I19" s="75">
        <f t="shared" ref="I19:I25" si="6">IF(I$6&lt;$E$3,0,IF(ISBLANK($E19),0,IF(I$6&lt;$E$2,0,1)))</f>
        <v>0</v>
      </c>
      <c r="J19" s="76">
        <f t="shared" ref="J19:J25" si="7">IF(J$6&lt;$E$3,0,IF(ISBLANK($E19),0,IF(J$6&lt;$E$2,0,1)))</f>
        <v>0</v>
      </c>
      <c r="K19" s="76">
        <f t="shared" si="3"/>
        <v>0</v>
      </c>
      <c r="L19" s="76">
        <f t="shared" si="3"/>
        <v>0</v>
      </c>
      <c r="M19" s="76">
        <f t="shared" si="3"/>
        <v>0</v>
      </c>
      <c r="N19" s="77"/>
      <c r="O19" s="78"/>
      <c r="P19" s="75">
        <f t="shared" ref="P19:Q25" si="8">IF(P$6&lt;$E$3,0,IF(ISBLANK($E19),0,IF(P$6&lt;$E$2,0,1)))</f>
        <v>0</v>
      </c>
      <c r="Q19" s="76">
        <f t="shared" si="8"/>
        <v>0</v>
      </c>
      <c r="R19" s="76">
        <f t="shared" ref="R19:T23" si="9">IF(R$6&lt;$E$3,0,IF(ISBLANK($E19),0,IF(R$6&lt;$E$2,0,1)))</f>
        <v>0</v>
      </c>
      <c r="S19" s="76">
        <f t="shared" si="9"/>
        <v>0</v>
      </c>
      <c r="T19" s="76">
        <f t="shared" si="9"/>
        <v>0</v>
      </c>
      <c r="U19" s="77"/>
      <c r="V19" s="78"/>
      <c r="W19" s="174">
        <f t="shared" si="5"/>
        <v>0</v>
      </c>
      <c r="X19" s="175"/>
      <c r="Y19" s="175"/>
      <c r="Z19" s="175"/>
      <c r="AA19" s="175"/>
      <c r="AB19" s="176"/>
    </row>
    <row r="20" spans="2:28" x14ac:dyDescent="0.25">
      <c r="B20" s="81"/>
      <c r="E20" s="15"/>
      <c r="F20" s="74"/>
      <c r="G20" s="68">
        <f>SUMIF(Sprint!$F$4:$F$1859,E20,Sprint!$AX$4:$AX$1859)</f>
        <v>0</v>
      </c>
      <c r="H20" s="83"/>
      <c r="I20" s="75">
        <f t="shared" si="6"/>
        <v>0</v>
      </c>
      <c r="J20" s="76">
        <f t="shared" si="7"/>
        <v>0</v>
      </c>
      <c r="K20" s="76">
        <f t="shared" si="3"/>
        <v>0</v>
      </c>
      <c r="L20" s="76">
        <f t="shared" si="3"/>
        <v>0</v>
      </c>
      <c r="M20" s="76">
        <f t="shared" si="3"/>
        <v>0</v>
      </c>
      <c r="N20" s="77"/>
      <c r="O20" s="78"/>
      <c r="P20" s="75">
        <f t="shared" si="8"/>
        <v>0</v>
      </c>
      <c r="Q20" s="76">
        <f t="shared" si="8"/>
        <v>0</v>
      </c>
      <c r="R20" s="76">
        <f t="shared" si="9"/>
        <v>0</v>
      </c>
      <c r="S20" s="76">
        <f t="shared" si="9"/>
        <v>0</v>
      </c>
      <c r="T20" s="76">
        <f t="shared" si="9"/>
        <v>0</v>
      </c>
      <c r="U20" s="77"/>
      <c r="V20" s="78"/>
      <c r="W20" s="174">
        <f t="shared" si="5"/>
        <v>0</v>
      </c>
      <c r="X20" s="175"/>
      <c r="Y20" s="175"/>
      <c r="Z20" s="175"/>
      <c r="AA20" s="175"/>
      <c r="AB20" s="176"/>
    </row>
    <row r="21" spans="2:28" x14ac:dyDescent="0.25">
      <c r="B21" s="81"/>
      <c r="C21" s="35"/>
      <c r="E21" s="15"/>
      <c r="F21" s="74"/>
      <c r="G21" s="68">
        <f>SUMIF(Sprint!$F$4:$F$1859,E21,Sprint!$AX$4:$AX$1859)</f>
        <v>0</v>
      </c>
      <c r="H21" s="83"/>
      <c r="I21" s="75">
        <f t="shared" si="6"/>
        <v>0</v>
      </c>
      <c r="J21" s="76">
        <f t="shared" si="7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7"/>
      <c r="O21" s="78"/>
      <c r="P21" s="75">
        <f t="shared" si="8"/>
        <v>0</v>
      </c>
      <c r="Q21" s="76">
        <f t="shared" si="8"/>
        <v>0</v>
      </c>
      <c r="R21" s="76">
        <f t="shared" si="9"/>
        <v>0</v>
      </c>
      <c r="S21" s="76">
        <f t="shared" si="9"/>
        <v>0</v>
      </c>
      <c r="T21" s="76">
        <f t="shared" si="9"/>
        <v>0</v>
      </c>
      <c r="U21" s="77"/>
      <c r="V21" s="78"/>
      <c r="W21" s="174">
        <f t="shared" si="5"/>
        <v>0</v>
      </c>
      <c r="X21" s="175"/>
      <c r="Y21" s="175"/>
      <c r="Z21" s="175"/>
      <c r="AA21" s="175"/>
      <c r="AB21" s="176"/>
    </row>
    <row r="22" spans="2:28" x14ac:dyDescent="0.25">
      <c r="B22" s="57"/>
      <c r="C22" s="84"/>
      <c r="E22" s="15"/>
      <c r="F22" s="85"/>
      <c r="G22" s="68">
        <f>SUMIF(Sprint!$F$4:$F$1859,E22,Sprint!$AX$4:$AX$1859)</f>
        <v>0</v>
      </c>
      <c r="H22" s="83"/>
      <c r="I22" s="75">
        <f t="shared" si="6"/>
        <v>0</v>
      </c>
      <c r="J22" s="76">
        <f t="shared" si="7"/>
        <v>0</v>
      </c>
      <c r="K22" s="76">
        <f t="shared" si="3"/>
        <v>0</v>
      </c>
      <c r="L22" s="76">
        <f t="shared" si="3"/>
        <v>0</v>
      </c>
      <c r="M22" s="76">
        <f t="shared" si="3"/>
        <v>0</v>
      </c>
      <c r="N22" s="77"/>
      <c r="O22" s="78"/>
      <c r="P22" s="75">
        <f t="shared" si="8"/>
        <v>0</v>
      </c>
      <c r="Q22" s="76">
        <f t="shared" si="8"/>
        <v>0</v>
      </c>
      <c r="R22" s="76">
        <f t="shared" si="9"/>
        <v>0</v>
      </c>
      <c r="S22" s="76">
        <f t="shared" si="9"/>
        <v>0</v>
      </c>
      <c r="T22" s="76">
        <f t="shared" si="9"/>
        <v>0</v>
      </c>
      <c r="U22" s="77"/>
      <c r="V22" s="78"/>
      <c r="W22" s="174">
        <f t="shared" si="5"/>
        <v>0</v>
      </c>
      <c r="X22" s="175"/>
      <c r="Y22" s="175"/>
      <c r="Z22" s="175"/>
      <c r="AA22" s="175"/>
      <c r="AB22" s="176"/>
    </row>
    <row r="23" spans="2:28" x14ac:dyDescent="0.25">
      <c r="B23" s="57"/>
      <c r="E23" s="15"/>
      <c r="F23" s="85"/>
      <c r="G23" s="68">
        <f>SUMIF(Sprint!$F$4:$F$1859,E23,Sprint!$AX$4:$AX$1859)</f>
        <v>0</v>
      </c>
      <c r="H23" s="83"/>
      <c r="I23" s="75">
        <f t="shared" si="6"/>
        <v>0</v>
      </c>
      <c r="J23" s="76">
        <f t="shared" si="7"/>
        <v>0</v>
      </c>
      <c r="K23" s="76">
        <f t="shared" si="3"/>
        <v>0</v>
      </c>
      <c r="L23" s="76">
        <f t="shared" si="3"/>
        <v>0</v>
      </c>
      <c r="M23" s="76">
        <f t="shared" si="3"/>
        <v>0</v>
      </c>
      <c r="N23" s="77"/>
      <c r="O23" s="78"/>
      <c r="P23" s="75">
        <f t="shared" si="8"/>
        <v>0</v>
      </c>
      <c r="Q23" s="76">
        <f t="shared" si="8"/>
        <v>0</v>
      </c>
      <c r="R23" s="76">
        <f t="shared" si="9"/>
        <v>0</v>
      </c>
      <c r="S23" s="76">
        <f t="shared" si="9"/>
        <v>0</v>
      </c>
      <c r="T23" s="76">
        <f t="shared" si="9"/>
        <v>0</v>
      </c>
      <c r="U23" s="77"/>
      <c r="V23" s="78"/>
      <c r="W23" s="174">
        <f t="shared" si="5"/>
        <v>0</v>
      </c>
      <c r="X23" s="175"/>
      <c r="Y23" s="175"/>
      <c r="Z23" s="175"/>
      <c r="AA23" s="175"/>
      <c r="AB23" s="176"/>
    </row>
    <row r="24" spans="2:28" x14ac:dyDescent="0.25">
      <c r="B24" s="81"/>
      <c r="E24" s="15"/>
      <c r="F24" s="85"/>
      <c r="G24" s="68">
        <f>SUMIF(Sprint!$F$4:$F$1859,E24,Sprint!$AX$4:$AX$1859)</f>
        <v>0</v>
      </c>
      <c r="H24" s="83"/>
      <c r="I24" s="75">
        <f t="shared" si="6"/>
        <v>0</v>
      </c>
      <c r="J24" s="76">
        <f t="shared" si="7"/>
        <v>0</v>
      </c>
      <c r="K24" s="76">
        <f t="shared" ref="K24:M25" si="10">IF(K$6&lt;$E$3,0,IF(ISBLANK($E24),0,IF(K$6&lt;$E$2,0,1)))</f>
        <v>0</v>
      </c>
      <c r="L24" s="76">
        <f t="shared" si="10"/>
        <v>0</v>
      </c>
      <c r="M24" s="76">
        <f t="shared" si="10"/>
        <v>0</v>
      </c>
      <c r="N24" s="77"/>
      <c r="O24" s="78"/>
      <c r="P24" s="75">
        <f t="shared" si="8"/>
        <v>0</v>
      </c>
      <c r="Q24" s="76">
        <f t="shared" si="8"/>
        <v>0</v>
      </c>
      <c r="R24" s="76">
        <f t="shared" ref="R24:T25" si="11">IF(R$6&lt;$E$3,0,IF(ISBLANK($E24),0,IF(R$6&lt;$E$2,0,1)))</f>
        <v>0</v>
      </c>
      <c r="S24" s="76">
        <f t="shared" si="11"/>
        <v>0</v>
      </c>
      <c r="T24" s="76">
        <f t="shared" si="11"/>
        <v>0</v>
      </c>
      <c r="U24" s="77"/>
      <c r="V24" s="78"/>
      <c r="W24" s="174">
        <f t="shared" si="5"/>
        <v>0</v>
      </c>
      <c r="X24" s="175"/>
      <c r="Y24" s="175"/>
      <c r="Z24" s="175"/>
      <c r="AA24" s="175"/>
      <c r="AB24" s="176"/>
    </row>
    <row r="25" spans="2:28" x14ac:dyDescent="0.25">
      <c r="B25" s="81"/>
      <c r="E25" s="86"/>
      <c r="F25" s="87"/>
      <c r="G25" s="68">
        <f>SUMIF(Sprint!$F$4:$F$1859,E25,Sprint!$AX$4:$AX$1859)</f>
        <v>0</v>
      </c>
      <c r="H25" s="83"/>
      <c r="I25" s="88">
        <f t="shared" si="6"/>
        <v>0</v>
      </c>
      <c r="J25" s="89">
        <f t="shared" si="7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90"/>
      <c r="O25" s="91"/>
      <c r="P25" s="88">
        <f t="shared" si="8"/>
        <v>0</v>
      </c>
      <c r="Q25" s="89">
        <f t="shared" si="8"/>
        <v>0</v>
      </c>
      <c r="R25" s="89">
        <f t="shared" si="11"/>
        <v>0</v>
      </c>
      <c r="S25" s="89">
        <f t="shared" si="11"/>
        <v>0</v>
      </c>
      <c r="T25" s="89">
        <f t="shared" si="11"/>
        <v>0</v>
      </c>
      <c r="U25" s="90"/>
      <c r="V25" s="91"/>
      <c r="W25" s="174">
        <f t="shared" si="5"/>
        <v>0</v>
      </c>
      <c r="X25" s="175"/>
      <c r="Y25" s="175"/>
      <c r="Z25" s="175"/>
      <c r="AA25" s="175"/>
      <c r="AB25" s="176"/>
    </row>
    <row r="26" spans="2:28" x14ac:dyDescent="0.25">
      <c r="B26" s="81"/>
      <c r="E26" s="92"/>
      <c r="G26" s="93"/>
      <c r="I26" s="94"/>
      <c r="J26" s="95"/>
      <c r="K26" s="95"/>
      <c r="L26" s="95"/>
      <c r="M26" s="95"/>
      <c r="N26" s="96"/>
      <c r="O26" s="96"/>
      <c r="P26" s="95"/>
      <c r="Q26" s="95"/>
      <c r="R26" s="95"/>
      <c r="S26" s="95"/>
      <c r="T26" s="95"/>
      <c r="U26" s="96"/>
      <c r="V26" s="96"/>
      <c r="W26" s="97"/>
      <c r="X26" s="97"/>
      <c r="Y26" s="97"/>
      <c r="Z26" s="97"/>
      <c r="AA26" s="97"/>
      <c r="AB26" s="98"/>
    </row>
    <row r="27" spans="2:28" x14ac:dyDescent="0.25">
      <c r="B27" s="99"/>
      <c r="C27" s="100"/>
      <c r="D27" s="100"/>
      <c r="E27" s="101"/>
      <c r="F27" s="101"/>
      <c r="G27" s="102"/>
      <c r="I27" s="103"/>
      <c r="J27" s="101"/>
      <c r="K27" s="101"/>
      <c r="L27" s="101"/>
      <c r="M27" s="104"/>
      <c r="N27" s="104"/>
      <c r="O27" s="104"/>
      <c r="P27" s="104"/>
      <c r="Q27" s="104"/>
      <c r="R27" s="101"/>
      <c r="S27" s="101"/>
      <c r="T27" s="104"/>
      <c r="U27" s="104"/>
      <c r="V27" s="104"/>
      <c r="W27" s="101"/>
      <c r="X27" s="101"/>
      <c r="Y27" s="101"/>
      <c r="Z27" s="101"/>
      <c r="AA27" s="101"/>
      <c r="AB27" s="102"/>
    </row>
    <row r="29" spans="2:28" x14ac:dyDescent="0.25">
      <c r="I29" s="105" t="s">
        <v>18</v>
      </c>
      <c r="J29" s="35" t="s">
        <v>19</v>
      </c>
      <c r="K29" s="35" t="s">
        <v>20</v>
      </c>
      <c r="Q29" s="105" t="s">
        <v>21</v>
      </c>
      <c r="R29" s="35" t="s">
        <v>19</v>
      </c>
      <c r="S29" s="35" t="s">
        <v>22</v>
      </c>
    </row>
    <row r="30" spans="2:28" x14ac:dyDescent="0.25">
      <c r="C30" s="106"/>
      <c r="D30" s="106"/>
    </row>
    <row r="31" spans="2:28" x14ac:dyDescent="0.25">
      <c r="C31" s="106"/>
      <c r="D31" s="106"/>
      <c r="E31" s="107"/>
      <c r="J31" s="5"/>
    </row>
    <row r="32" spans="2:28" x14ac:dyDescent="0.25">
      <c r="C32" s="106"/>
      <c r="D32" s="106"/>
      <c r="E32" s="107"/>
      <c r="F32" s="44"/>
    </row>
    <row r="37" spans="2:22" x14ac:dyDescent="0.25">
      <c r="I37" s="108"/>
    </row>
    <row r="38" spans="2:22" x14ac:dyDescent="0.25">
      <c r="J38" s="109"/>
      <c r="K38" s="92"/>
      <c r="L38" s="92"/>
      <c r="M38" s="92"/>
      <c r="N38" s="92"/>
      <c r="O38" s="92"/>
      <c r="Q38" s="109"/>
      <c r="R38" s="92"/>
      <c r="S38" s="92"/>
      <c r="T38" s="92"/>
      <c r="U38" s="92"/>
      <c r="V38" s="92"/>
    </row>
    <row r="40" spans="2:22" x14ac:dyDescent="0.25">
      <c r="E40" s="5"/>
    </row>
    <row r="45" spans="2:22" x14ac:dyDescent="0.25">
      <c r="B45" s="110"/>
      <c r="E45" s="108"/>
    </row>
  </sheetData>
  <mergeCells count="21">
    <mergeCell ref="B5:G5"/>
    <mergeCell ref="W6:AB6"/>
    <mergeCell ref="W12:AB12"/>
    <mergeCell ref="W11:AB11"/>
    <mergeCell ref="W7:AB7"/>
    <mergeCell ref="W8:AB8"/>
    <mergeCell ref="W9:AB9"/>
    <mergeCell ref="W10:AB10"/>
    <mergeCell ref="W20:AB20"/>
    <mergeCell ref="W16:AB16"/>
    <mergeCell ref="W17:AB17"/>
    <mergeCell ref="W18:AB18"/>
    <mergeCell ref="W13:AB13"/>
    <mergeCell ref="W14:AB14"/>
    <mergeCell ref="W15:AB15"/>
    <mergeCell ref="W19:AB19"/>
    <mergeCell ref="W21:AB21"/>
    <mergeCell ref="W23:AB23"/>
    <mergeCell ref="W24:AB24"/>
    <mergeCell ref="W25:AB25"/>
    <mergeCell ref="W22:AB22"/>
  </mergeCells>
  <conditionalFormatting sqref="C6:C9 D6:D12 D14:D15 C22">
    <cfRule type="cellIs" dxfId="129" priority="10" stopIfTrue="1" operator="equal">
      <formula>"3A"</formula>
    </cfRule>
    <cfRule type="cellIs" dxfId="128" priority="11" stopIfTrue="1" operator="equal">
      <formula>"3B"</formula>
    </cfRule>
  </conditionalFormatting>
  <conditionalFormatting sqref="C10">
    <cfRule type="cellIs" dxfId="127" priority="8" stopIfTrue="1" operator="greaterThan">
      <formula>0</formula>
    </cfRule>
    <cfRule type="cellIs" dxfId="126" priority="9" stopIfTrue="1" operator="lessThanOrEqual">
      <formula>0</formula>
    </cfRule>
  </conditionalFormatting>
  <conditionalFormatting sqref="F8:F21 F26:F27">
    <cfRule type="expression" dxfId="125" priority="1" stopIfTrue="1">
      <formula>H8&gt;X8</formula>
    </cfRule>
  </conditionalFormatting>
  <conditionalFormatting sqref="F30:F33">
    <cfRule type="expression" dxfId="124" priority="4" stopIfTrue="1">
      <formula>H28&gt;X28</formula>
    </cfRule>
  </conditionalFormatting>
  <conditionalFormatting sqref="G6 G32:G34">
    <cfRule type="cellIs" dxfId="123" priority="12" stopIfTrue="1" operator="equal">
      <formula>"Done"</formula>
    </cfRule>
  </conditionalFormatting>
  <conditionalFormatting sqref="G8:G25">
    <cfRule type="expression" dxfId="122" priority="2" stopIfTrue="1">
      <formula>G8&gt;W8</formula>
    </cfRule>
  </conditionalFormatting>
  <conditionalFormatting sqref="I6">
    <cfRule type="expression" dxfId="121" priority="26" stopIfTrue="1">
      <formula>IF((J$6+1-$E$3)=$F$6,1,0)</formula>
    </cfRule>
  </conditionalFormatting>
  <conditionalFormatting sqref="I7:K7 M7:W7">
    <cfRule type="cellIs" dxfId="120" priority="18" stopIfTrue="1" operator="equal">
      <formula>"V"</formula>
    </cfRule>
  </conditionalFormatting>
  <conditionalFormatting sqref="I8:M25 P8:T25">
    <cfRule type="cellIs" dxfId="119" priority="5" stopIfTrue="1" operator="equal">
      <formula>"H"</formula>
    </cfRule>
    <cfRule type="cellIs" dxfId="118" priority="6" stopIfTrue="1" operator="equal">
      <formula>"V"</formula>
    </cfRule>
    <cfRule type="expression" dxfId="117" priority="7" stopIfTrue="1">
      <formula>IF(I$6&lt;$E$2,1,0)</formula>
    </cfRule>
  </conditionalFormatting>
  <conditionalFormatting sqref="I6:V6">
    <cfRule type="expression" dxfId="116" priority="21" stopIfTrue="1">
      <formula>I$6=TODAY()</formula>
    </cfRule>
  </conditionalFormatting>
  <conditionalFormatting sqref="I7:W7">
    <cfRule type="cellIs" dxfId="115" priority="16" stopIfTrue="1" operator="equal">
      <formula>"DIO"</formula>
    </cfRule>
    <cfRule type="cellIs" dxfId="114" priority="17" stopIfTrue="1" operator="equal">
      <formula>"H"</formula>
    </cfRule>
  </conditionalFormatting>
  <conditionalFormatting sqref="J6:V6">
    <cfRule type="expression" dxfId="113" priority="22" stopIfTrue="1">
      <formula>IF((J$6+1-$E$3)=$F$6,1,0)</formula>
    </cfRule>
  </conditionalFormatting>
  <conditionalFormatting sqref="N8:O25 U8:V25 P26:S28 X26:X28 J26:J30 I26:I34 K26:O34 T26:W34 Q29 P30:S34 X30:X34 J32:J34">
    <cfRule type="cellIs" dxfId="112" priority="13" stopIfTrue="1" operator="equal">
      <formula>"DIO"</formula>
    </cfRule>
    <cfRule type="cellIs" dxfId="111" priority="14" stopIfTrue="1" operator="equal">
      <formula>"H"</formula>
    </cfRule>
    <cfRule type="cellIs" dxfId="110" priority="15" stopIfTrue="1" operator="equal">
      <formula>"V"</formula>
    </cfRule>
  </conditionalFormatting>
  <dataValidations count="1">
    <dataValidation type="list" allowBlank="1" showInputMessage="1" showErrorMessage="1" sqref="B30 E8:E25" xr:uid="{00000000-0002-0000-0100-000000000000}">
      <formula1>Members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/>
  </sheetViews>
  <sheetFormatPr baseColWidth="10" defaultColWidth="8.88671875" defaultRowHeight="13.2" x14ac:dyDescent="0.25"/>
  <cols>
    <col min="1" max="1" width="21.5546875" customWidth="1"/>
    <col min="2" max="2" width="6.6640625" customWidth="1"/>
    <col min="3" max="3" width="7.33203125" customWidth="1"/>
  </cols>
  <sheetData>
    <row r="1" spans="1:3" ht="14.4" x14ac:dyDescent="0.3">
      <c r="A1" s="130" t="s">
        <v>23</v>
      </c>
      <c r="B1" s="131"/>
    </row>
    <row r="2" spans="1:3" ht="14.4" x14ac:dyDescent="0.3">
      <c r="A2" s="132" t="s">
        <v>24</v>
      </c>
      <c r="B2" s="133">
        <f>COUNTIF(Sprint!$A$4:$A$97, "Feature")</f>
        <v>9</v>
      </c>
      <c r="C2" s="137">
        <f>B2/$B$6</f>
        <v>0.75</v>
      </c>
    </row>
    <row r="3" spans="1:3" ht="14.4" x14ac:dyDescent="0.3">
      <c r="A3" s="132" t="s">
        <v>25</v>
      </c>
      <c r="B3" s="133">
        <f>COUNTIF(Sprint!$A$4:$A$97, "Tax")</f>
        <v>2</v>
      </c>
      <c r="C3" s="137">
        <f t="shared" ref="C3:C5" si="0">B3/$B$6</f>
        <v>0.16666666666666666</v>
      </c>
    </row>
    <row r="4" spans="1:3" ht="14.4" x14ac:dyDescent="0.3">
      <c r="A4" s="132" t="s">
        <v>26</v>
      </c>
      <c r="B4" s="133">
        <f>COUNTIF(Sprint!$A$4:$A$97, "Precondition")</f>
        <v>0</v>
      </c>
      <c r="C4" s="137">
        <f t="shared" si="0"/>
        <v>0</v>
      </c>
    </row>
    <row r="5" spans="1:3" ht="14.4" x14ac:dyDescent="0.3">
      <c r="A5" s="132" t="s">
        <v>27</v>
      </c>
      <c r="B5" s="133">
        <f>COUNTIF(Sprint!$A$4:$A$97, "Spike")</f>
        <v>1</v>
      </c>
      <c r="C5" s="137">
        <f t="shared" si="0"/>
        <v>8.3333333333333329E-2</v>
      </c>
    </row>
    <row r="6" spans="1:3" ht="14.4" x14ac:dyDescent="0.3">
      <c r="A6" s="134" t="s">
        <v>28</v>
      </c>
      <c r="B6" s="138">
        <f>SUM(B2:B5)</f>
        <v>12</v>
      </c>
      <c r="C6" s="139">
        <f>SUM(C2:C5)</f>
        <v>1</v>
      </c>
    </row>
    <row r="7" spans="1:3" ht="14.4" x14ac:dyDescent="0.3">
      <c r="A7" s="133"/>
      <c r="B7" s="133"/>
    </row>
    <row r="8" spans="1:3" ht="14.4" x14ac:dyDescent="0.3">
      <c r="A8" s="134" t="s">
        <v>29</v>
      </c>
      <c r="B8" s="133"/>
    </row>
    <row r="9" spans="1:3" ht="14.4" x14ac:dyDescent="0.3">
      <c r="A9" s="132" t="s">
        <v>77</v>
      </c>
      <c r="B9" s="133">
        <v>1</v>
      </c>
      <c r="C9" s="137">
        <v>8.3333333333333329E-2</v>
      </c>
    </row>
    <row r="10" spans="1:3" ht="14.4" x14ac:dyDescent="0.3">
      <c r="A10" s="132" t="s">
        <v>78</v>
      </c>
      <c r="B10" s="133">
        <v>2</v>
      </c>
      <c r="C10" s="137">
        <v>0.16666666666666666</v>
      </c>
    </row>
    <row r="11" spans="1:3" ht="14.4" x14ac:dyDescent="0.3">
      <c r="A11" s="132" t="s">
        <v>79</v>
      </c>
      <c r="B11" s="133">
        <v>3</v>
      </c>
      <c r="C11" s="137">
        <v>0.25</v>
      </c>
    </row>
    <row r="12" spans="1:3" ht="14.4" x14ac:dyDescent="0.3">
      <c r="A12" s="132" t="s">
        <v>80</v>
      </c>
      <c r="B12" s="133">
        <v>2</v>
      </c>
      <c r="C12" s="137">
        <f t="shared" ref="C12:C24" si="1">B12/$B$25</f>
        <v>0.16666666666666666</v>
      </c>
    </row>
    <row r="13" spans="1:3" ht="14.4" x14ac:dyDescent="0.3">
      <c r="A13" s="132" t="s">
        <v>81</v>
      </c>
      <c r="B13" s="133">
        <v>2</v>
      </c>
      <c r="C13" s="137">
        <f t="shared" si="1"/>
        <v>0.16666666666666666</v>
      </c>
    </row>
    <row r="14" spans="1:3" ht="14.4" x14ac:dyDescent="0.3">
      <c r="A14" s="132" t="s">
        <v>82</v>
      </c>
      <c r="B14" s="133">
        <v>2</v>
      </c>
      <c r="C14" s="137">
        <f t="shared" si="1"/>
        <v>0.16666666666666666</v>
      </c>
    </row>
    <row r="15" spans="1:3" ht="14.4" x14ac:dyDescent="0.3">
      <c r="A15" s="132"/>
      <c r="B15" s="133"/>
      <c r="C15" s="137">
        <f t="shared" si="1"/>
        <v>0</v>
      </c>
    </row>
    <row r="16" spans="1:3" ht="14.4" x14ac:dyDescent="0.3">
      <c r="A16" s="132"/>
      <c r="B16" s="133"/>
      <c r="C16" s="137">
        <f t="shared" si="1"/>
        <v>0</v>
      </c>
    </row>
    <row r="17" spans="1:3" ht="14.4" x14ac:dyDescent="0.3">
      <c r="A17" s="132"/>
      <c r="B17" s="133"/>
      <c r="C17" s="137">
        <f t="shared" si="1"/>
        <v>0</v>
      </c>
    </row>
    <row r="18" spans="1:3" ht="14.4" x14ac:dyDescent="0.3">
      <c r="A18" s="132"/>
      <c r="B18" s="133"/>
      <c r="C18" s="137">
        <f t="shared" si="1"/>
        <v>0</v>
      </c>
    </row>
    <row r="19" spans="1:3" ht="14.4" x14ac:dyDescent="0.3">
      <c r="A19" s="132"/>
      <c r="B19" s="133"/>
      <c r="C19" s="137">
        <f t="shared" si="1"/>
        <v>0</v>
      </c>
    </row>
    <row r="20" spans="1:3" ht="14.4" x14ac:dyDescent="0.3">
      <c r="A20" s="132"/>
      <c r="B20" s="133"/>
      <c r="C20" s="137">
        <f t="shared" si="1"/>
        <v>0</v>
      </c>
    </row>
    <row r="21" spans="1:3" ht="14.4" x14ac:dyDescent="0.3">
      <c r="A21" s="132"/>
      <c r="B21" s="133"/>
      <c r="C21" s="137">
        <f t="shared" si="1"/>
        <v>0</v>
      </c>
    </row>
    <row r="22" spans="1:3" ht="14.4" x14ac:dyDescent="0.3">
      <c r="A22" s="132"/>
      <c r="B22" s="133"/>
      <c r="C22" s="137">
        <f t="shared" si="1"/>
        <v>0</v>
      </c>
    </row>
    <row r="23" spans="1:3" ht="14.4" x14ac:dyDescent="0.3">
      <c r="A23" s="132"/>
      <c r="B23" s="133"/>
      <c r="C23" s="137">
        <f t="shared" si="1"/>
        <v>0</v>
      </c>
    </row>
    <row r="24" spans="1:3" ht="14.4" x14ac:dyDescent="0.3">
      <c r="A24" s="132"/>
      <c r="B24" s="133"/>
      <c r="C24" s="137">
        <f t="shared" si="1"/>
        <v>0</v>
      </c>
    </row>
    <row r="25" spans="1:3" ht="14.4" x14ac:dyDescent="0.3">
      <c r="A25" s="134" t="s">
        <v>28</v>
      </c>
      <c r="B25" s="136">
        <v>12</v>
      </c>
      <c r="C25" s="137">
        <v>1</v>
      </c>
    </row>
    <row r="26" spans="1:3" x14ac:dyDescent="0.25">
      <c r="C26" s="137"/>
    </row>
    <row r="27" spans="1:3" ht="14.4" x14ac:dyDescent="0.3">
      <c r="A27" s="172" t="s">
        <v>83</v>
      </c>
      <c r="B27" s="166" t="s">
        <v>84</v>
      </c>
      <c r="C27" s="173" t="s">
        <v>85</v>
      </c>
    </row>
    <row r="28" spans="1:3" ht="14.4" x14ac:dyDescent="0.3">
      <c r="A28" s="132" t="s">
        <v>86</v>
      </c>
      <c r="B28" s="133">
        <v>12</v>
      </c>
      <c r="C28" s="137">
        <v>1</v>
      </c>
    </row>
    <row r="29" spans="1:3" ht="14.4" x14ac:dyDescent="0.3">
      <c r="A29" s="132" t="s">
        <v>87</v>
      </c>
      <c r="B29" s="133">
        <v>0</v>
      </c>
      <c r="C29" s="137">
        <f t="shared" ref="C29:C32" si="2">B29/$B$33</f>
        <v>0</v>
      </c>
    </row>
    <row r="30" spans="1:3" ht="14.4" x14ac:dyDescent="0.3">
      <c r="A30" s="132" t="s">
        <v>88</v>
      </c>
      <c r="B30" s="133">
        <v>0</v>
      </c>
      <c r="C30" s="137">
        <f t="shared" si="2"/>
        <v>0</v>
      </c>
    </row>
    <row r="31" spans="1:3" ht="14.4" x14ac:dyDescent="0.3">
      <c r="A31" s="132" t="s">
        <v>89</v>
      </c>
      <c r="B31" s="133">
        <v>0</v>
      </c>
      <c r="C31" s="137">
        <f t="shared" si="2"/>
        <v>0</v>
      </c>
    </row>
    <row r="32" spans="1:3" ht="14.4" x14ac:dyDescent="0.3">
      <c r="A32" s="132" t="s">
        <v>90</v>
      </c>
      <c r="B32" s="133">
        <v>0</v>
      </c>
      <c r="C32" s="137">
        <f t="shared" si="2"/>
        <v>0</v>
      </c>
    </row>
    <row r="33" spans="1:3" ht="14.4" x14ac:dyDescent="0.3">
      <c r="A33" s="134" t="s">
        <v>28</v>
      </c>
      <c r="B33" s="138">
        <v>12</v>
      </c>
      <c r="C33" s="140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74"/>
  <sheetViews>
    <sheetView tabSelected="1" workbookViewId="0"/>
  </sheetViews>
  <sheetFormatPr baseColWidth="10" defaultColWidth="9.109375" defaultRowHeight="13.2" x14ac:dyDescent="0.25"/>
  <cols>
    <col min="1" max="1" width="7.21875" style="5" customWidth="1"/>
    <col min="2" max="2" width="18.6640625" style="5" customWidth="1"/>
    <col min="3" max="3" width="20.109375" style="5" customWidth="1"/>
    <col min="4" max="4" width="6.77734375" style="5" customWidth="1"/>
    <col min="5" max="5" width="38" style="5" customWidth="1"/>
    <col min="6" max="6" width="5.33203125" style="5" customWidth="1"/>
    <col min="7" max="7" width="4.5546875" style="5" customWidth="1"/>
    <col min="8" max="8" width="1.88671875" style="5" customWidth="1"/>
    <col min="9" max="9" width="3.6640625" style="5" customWidth="1"/>
    <col min="10" max="10" width="3.6640625" style="129" customWidth="1"/>
    <col min="11" max="11" width="2.33203125" customWidth="1"/>
    <col min="12" max="12" width="7" style="5" customWidth="1"/>
    <col min="13" max="13" width="3.6640625" style="5" customWidth="1"/>
    <col min="14" max="14" width="2.33203125" customWidth="1"/>
    <col min="15" max="15" width="7" style="5" customWidth="1"/>
    <col min="16" max="16" width="3.6640625" style="5" customWidth="1"/>
    <col min="17" max="17" width="2.33203125" customWidth="1"/>
    <col min="18" max="18" width="7" style="5" customWidth="1"/>
    <col min="19" max="19" width="3.6640625" style="5" customWidth="1"/>
    <col min="20" max="20" width="2.33203125" customWidth="1"/>
    <col min="21" max="21" width="7" style="5" customWidth="1"/>
    <col min="22" max="22" width="3.6640625" style="5" customWidth="1"/>
    <col min="23" max="23" width="2.33203125" customWidth="1"/>
    <col min="24" max="24" width="7" style="5" customWidth="1"/>
    <col min="25" max="25" width="3.6640625" style="5" customWidth="1"/>
    <col min="26" max="26" width="2.33203125" customWidth="1"/>
    <col min="27" max="27" width="7" style="5" customWidth="1"/>
    <col min="28" max="28" width="3.6640625" style="5" customWidth="1"/>
    <col min="29" max="29" width="2.33203125" customWidth="1"/>
    <col min="30" max="30" width="7" style="5" customWidth="1"/>
    <col min="31" max="31" width="3.6640625" style="5" customWidth="1"/>
    <col min="32" max="32" width="2.33203125" customWidth="1"/>
    <col min="33" max="33" width="7" style="5" customWidth="1"/>
    <col min="34" max="34" width="3.6640625" style="5" customWidth="1"/>
    <col min="35" max="35" width="2.33203125" customWidth="1"/>
    <col min="36" max="36" width="7" style="5" customWidth="1"/>
    <col min="37" max="37" width="3.6640625" style="5" customWidth="1"/>
    <col min="38" max="38" width="2.33203125" customWidth="1"/>
    <col min="39" max="39" width="7" style="5" customWidth="1"/>
    <col min="40" max="40" width="3.6640625" style="5" customWidth="1"/>
    <col min="41" max="41" width="2.33203125" customWidth="1"/>
    <col min="42" max="42" width="7" style="5" customWidth="1"/>
    <col min="43" max="43" width="3.6640625" style="5" customWidth="1"/>
    <col min="44" max="44" width="2.33203125" customWidth="1"/>
    <col min="45" max="45" width="6.109375" style="5" customWidth="1"/>
    <col min="46" max="47" width="3.33203125" style="5" customWidth="1"/>
    <col min="48" max="48" width="2.44140625" style="5" customWidth="1"/>
    <col min="49" max="50" width="3.33203125" style="5" customWidth="1"/>
    <col min="51" max="51" width="2.44140625" style="5" customWidth="1"/>
    <col min="52" max="53" width="3.33203125" style="5" customWidth="1"/>
    <col min="54" max="54" width="2.44140625" style="5" customWidth="1"/>
    <col min="55" max="56" width="3.33203125" style="5" customWidth="1"/>
    <col min="57" max="57" width="2.44140625" style="5" customWidth="1"/>
    <col min="58" max="59" width="3.33203125" style="5" customWidth="1"/>
    <col min="60" max="60" width="2.44140625" style="5" customWidth="1"/>
    <col min="61" max="62" width="3.33203125" style="5" customWidth="1"/>
    <col min="63" max="63" width="2.44140625" style="5" customWidth="1"/>
    <col min="64" max="65" width="3.33203125" style="5" customWidth="1"/>
    <col min="66" max="66" width="2.44140625" style="5" customWidth="1"/>
    <col min="67" max="68" width="3.33203125" style="5" customWidth="1"/>
    <col min="69" max="69" width="2.44140625" style="5" customWidth="1"/>
    <col min="70" max="71" width="3.33203125" style="5" customWidth="1"/>
    <col min="72" max="72" width="2.44140625" style="5" customWidth="1"/>
    <col min="73" max="74" width="3.33203125" style="5" customWidth="1"/>
    <col min="75" max="75" width="2.44140625" style="5" customWidth="1"/>
    <col min="76" max="77" width="3.33203125" style="5" customWidth="1"/>
    <col min="78" max="78" width="2.44140625" style="5" customWidth="1"/>
    <col min="79" max="80" width="3.33203125" style="5" customWidth="1"/>
    <col min="81" max="82" width="2.44140625" style="5" customWidth="1"/>
    <col min="83" max="83" width="8.109375" style="5" customWidth="1"/>
    <col min="84" max="16384" width="9.109375" style="5"/>
  </cols>
  <sheetData>
    <row r="1" spans="1:83" x14ac:dyDescent="0.25">
      <c r="A1" s="1"/>
      <c r="B1" s="1"/>
      <c r="C1" s="1"/>
      <c r="D1" s="1"/>
      <c r="E1" s="2"/>
      <c r="F1" s="3" t="s">
        <v>91</v>
      </c>
      <c r="G1" s="150">
        <v>46143</v>
      </c>
      <c r="H1" s="1"/>
      <c r="I1" s="1"/>
      <c r="J1" s="188">
        <v>46143</v>
      </c>
      <c r="K1" s="188"/>
      <c r="L1" s="188"/>
      <c r="M1" s="188">
        <v>46146</v>
      </c>
      <c r="N1" s="188"/>
      <c r="O1" s="188"/>
      <c r="P1" s="188">
        <v>46147</v>
      </c>
      <c r="Q1" s="188"/>
      <c r="R1" s="188"/>
      <c r="S1" s="188">
        <v>46148</v>
      </c>
      <c r="T1" s="188"/>
      <c r="U1" s="188"/>
      <c r="V1" s="188">
        <v>46149</v>
      </c>
      <c r="W1" s="188"/>
      <c r="X1" s="188"/>
      <c r="Y1" s="188">
        <v>46150</v>
      </c>
      <c r="Z1" s="188"/>
      <c r="AA1" s="188"/>
      <c r="AB1" s="188">
        <v>46153</v>
      </c>
      <c r="AC1" s="188"/>
      <c r="AD1" s="188"/>
      <c r="AE1" s="188">
        <v>46154</v>
      </c>
      <c r="AF1" s="188"/>
      <c r="AG1" s="188"/>
      <c r="AH1" s="188">
        <v>46155</v>
      </c>
      <c r="AI1" s="188"/>
      <c r="AJ1" s="188"/>
      <c r="AK1" s="188">
        <v>46156</v>
      </c>
      <c r="AL1" s="188"/>
      <c r="AM1" s="188"/>
      <c r="AN1" s="188">
        <v>46157</v>
      </c>
      <c r="AO1" s="188"/>
      <c r="AP1" s="188"/>
      <c r="AQ1" s="188">
        <v>46160</v>
      </c>
      <c r="AR1" s="188"/>
      <c r="AS1" s="188"/>
      <c r="AT1" s="187">
        <f>IF(AND(SkipWeekends, WEEKDAY(AQ1)=6),AQ1+3, AQ1+1)</f>
        <v>46161</v>
      </c>
      <c r="AU1" s="187"/>
      <c r="AV1" s="187"/>
      <c r="AW1" s="187">
        <f>IF(AND(SkipWeekends, WEEKDAY(AT1)=6),AT1+3, AT1+1)</f>
        <v>46162</v>
      </c>
      <c r="AX1" s="187"/>
      <c r="AY1" s="187"/>
      <c r="AZ1" s="187">
        <f>IF(AND(SkipWeekends, WEEKDAY(AW1)=6),AW1+3,AW1+ 1)</f>
        <v>46163</v>
      </c>
      <c r="BA1" s="187"/>
      <c r="BB1" s="187"/>
      <c r="BC1" s="187">
        <f>IF(AND(SkipWeekends, WEEKDAY(AZ1)=6),AZ1+3, AZ1+1)</f>
        <v>46164</v>
      </c>
      <c r="BD1" s="187"/>
      <c r="BE1" s="187"/>
      <c r="BF1" s="187">
        <f>IF(AND(SkipWeekends, WEEKDAY(BC1)=6),BC1+3, BC1+1)</f>
        <v>46167</v>
      </c>
      <c r="BG1" s="187"/>
      <c r="BH1" s="187"/>
      <c r="BI1" s="187">
        <f>IF(AND(SkipWeekends, WEEKDAY(BF1)=6),BF1+3, BF1+1)</f>
        <v>46168</v>
      </c>
      <c r="BJ1" s="187"/>
      <c r="BK1" s="187"/>
      <c r="BL1" s="187">
        <f>IF(AND(SkipWeekends, WEEKDAY(BI1)=6),BI1+3, BI1+1)</f>
        <v>46169</v>
      </c>
      <c r="BM1" s="187"/>
      <c r="BN1" s="187"/>
      <c r="BO1" s="187">
        <f>IF(AND(SkipWeekends, WEEKDAY(BL1)=6),BL1+3, BL1+1)</f>
        <v>46170</v>
      </c>
      <c r="BP1" s="187"/>
      <c r="BQ1" s="187"/>
      <c r="BR1" s="187">
        <f>IF(AND(SkipWeekends, WEEKDAY(BO1)=6),BO1+3, BO1+1)</f>
        <v>46171</v>
      </c>
      <c r="BS1" s="187"/>
      <c r="BT1" s="187"/>
      <c r="BU1" s="187">
        <f>IF(AND(SkipWeekends, WEEKDAY(BR1)=6),BR1+3, BR1+1)</f>
        <v>46174</v>
      </c>
      <c r="BV1" s="187"/>
      <c r="BW1" s="187"/>
      <c r="BX1" s="187">
        <f>IF(AND(SkipWeekends, WEEKDAY(BU1)=6),BU1+3, BU1+1)</f>
        <v>46175</v>
      </c>
      <c r="BY1" s="187"/>
      <c r="BZ1" s="187"/>
      <c r="CA1" s="187">
        <f>IF(AND(SkipWeekends, WEEKDAY(BX1)=6),BX1+3, BX1+1)</f>
        <v>46176</v>
      </c>
      <c r="CB1" s="187"/>
      <c r="CC1" s="187"/>
      <c r="CD1" s="4"/>
      <c r="CE1" s="1"/>
    </row>
    <row r="2" spans="1:83" x14ac:dyDescent="0.25">
      <c r="A2" s="1"/>
      <c r="B2" s="1"/>
      <c r="C2" s="1"/>
      <c r="D2" s="1"/>
      <c r="E2" s="6"/>
      <c r="F2" s="7"/>
      <c r="G2" s="8"/>
      <c r="H2" s="1"/>
      <c r="I2" s="1"/>
      <c r="J2" s="126" t="s">
        <v>92</v>
      </c>
      <c r="K2" s="126"/>
      <c r="L2" s="9"/>
      <c r="M2" s="9" t="s">
        <v>93</v>
      </c>
      <c r="N2" s="9"/>
      <c r="O2" s="9"/>
      <c r="P2" s="9" t="s">
        <v>94</v>
      </c>
      <c r="Q2" s="9"/>
      <c r="R2" s="9"/>
      <c r="S2" s="9" t="s">
        <v>95</v>
      </c>
      <c r="T2" s="9"/>
      <c r="U2" s="9"/>
      <c r="V2" s="9" t="s">
        <v>96</v>
      </c>
      <c r="W2" s="9"/>
      <c r="X2" s="9"/>
      <c r="Y2" s="9" t="s">
        <v>97</v>
      </c>
      <c r="Z2" s="9"/>
      <c r="AA2" s="9"/>
      <c r="AB2" s="9" t="s">
        <v>98</v>
      </c>
      <c r="AC2" s="9"/>
      <c r="AD2" s="9"/>
      <c r="AE2" s="9" t="s">
        <v>99</v>
      </c>
      <c r="AF2" s="9"/>
      <c r="AG2" s="9"/>
      <c r="AH2" s="9" t="s">
        <v>100</v>
      </c>
      <c r="AI2" s="9"/>
      <c r="AJ2" s="9"/>
      <c r="AK2" s="9" t="s">
        <v>101</v>
      </c>
      <c r="AL2" s="9"/>
      <c r="AM2" s="9"/>
      <c r="AN2" s="9" t="s">
        <v>102</v>
      </c>
      <c r="AO2" s="9"/>
      <c r="AP2" s="9"/>
      <c r="AQ2" s="9" t="s">
        <v>103</v>
      </c>
      <c r="AR2" s="9"/>
      <c r="AS2" s="9"/>
      <c r="AT2" s="9"/>
      <c r="AU2" s="9" t="s">
        <v>30</v>
      </c>
      <c r="AV2" s="9"/>
      <c r="AW2" s="9"/>
      <c r="AX2" s="9" t="s">
        <v>31</v>
      </c>
      <c r="AY2" s="9"/>
      <c r="AZ2" s="9"/>
      <c r="BA2" s="9" t="s">
        <v>32</v>
      </c>
      <c r="BB2" s="9"/>
      <c r="BC2" s="9"/>
      <c r="BD2" s="9" t="s">
        <v>33</v>
      </c>
      <c r="BE2" s="9"/>
      <c r="BF2" s="9"/>
      <c r="BG2" s="9" t="s">
        <v>34</v>
      </c>
      <c r="BH2" s="9"/>
      <c r="BI2" s="9"/>
      <c r="BJ2" s="9" t="s">
        <v>35</v>
      </c>
      <c r="BK2" s="9"/>
      <c r="BL2" s="9"/>
      <c r="BM2" s="9" t="s">
        <v>36</v>
      </c>
      <c r="BN2" s="9"/>
      <c r="BO2" s="9"/>
      <c r="BP2" s="9" t="s">
        <v>37</v>
      </c>
      <c r="BQ2" s="9"/>
      <c r="BR2" s="9"/>
      <c r="BS2" s="9" t="s">
        <v>38</v>
      </c>
      <c r="BT2" s="9"/>
      <c r="BU2" s="9"/>
      <c r="BV2" s="9" t="s">
        <v>39</v>
      </c>
      <c r="BW2" s="9"/>
      <c r="BX2" s="9"/>
      <c r="BY2" s="9" t="s">
        <v>40</v>
      </c>
      <c r="BZ2" s="9"/>
      <c r="CA2" s="9"/>
      <c r="CB2" s="9" t="s">
        <v>41</v>
      </c>
      <c r="CC2" s="9"/>
      <c r="CD2" s="4"/>
      <c r="CE2" s="1"/>
    </row>
    <row r="3" spans="1:83" ht="30.6" customHeight="1" x14ac:dyDescent="0.25">
      <c r="A3" s="151" t="s">
        <v>104</v>
      </c>
      <c r="B3" s="151" t="s">
        <v>105</v>
      </c>
      <c r="C3" s="151" t="s">
        <v>106</v>
      </c>
      <c r="D3" s="151" t="s">
        <v>107</v>
      </c>
      <c r="E3" s="152" t="s">
        <v>108</v>
      </c>
      <c r="F3" s="152" t="s">
        <v>109</v>
      </c>
      <c r="G3" s="152" t="s">
        <v>110</v>
      </c>
      <c r="H3" s="153" t="s">
        <v>111</v>
      </c>
      <c r="I3" s="153" t="s">
        <v>112</v>
      </c>
      <c r="J3" s="154" t="s">
        <v>42</v>
      </c>
      <c r="K3" s="155" t="s">
        <v>43</v>
      </c>
      <c r="L3" s="155" t="s">
        <v>113</v>
      </c>
      <c r="M3" s="154" t="s">
        <v>42</v>
      </c>
      <c r="N3" s="155" t="s">
        <v>43</v>
      </c>
      <c r="O3" s="155" t="s">
        <v>113</v>
      </c>
      <c r="P3" s="154" t="s">
        <v>42</v>
      </c>
      <c r="Q3" s="155" t="s">
        <v>43</v>
      </c>
      <c r="R3" s="155" t="s">
        <v>113</v>
      </c>
      <c r="S3" s="154" t="s">
        <v>42</v>
      </c>
      <c r="T3" s="155" t="s">
        <v>43</v>
      </c>
      <c r="U3" s="155" t="s">
        <v>113</v>
      </c>
      <c r="V3" s="154" t="s">
        <v>42</v>
      </c>
      <c r="W3" s="155" t="s">
        <v>43</v>
      </c>
      <c r="X3" s="155" t="s">
        <v>113</v>
      </c>
      <c r="Y3" s="154" t="s">
        <v>42</v>
      </c>
      <c r="Z3" s="155" t="s">
        <v>43</v>
      </c>
      <c r="AA3" s="155" t="s">
        <v>113</v>
      </c>
      <c r="AB3" s="154" t="s">
        <v>42</v>
      </c>
      <c r="AC3" s="155" t="s">
        <v>43</v>
      </c>
      <c r="AD3" s="155" t="s">
        <v>113</v>
      </c>
      <c r="AE3" s="154" t="s">
        <v>42</v>
      </c>
      <c r="AF3" s="155" t="s">
        <v>43</v>
      </c>
      <c r="AG3" s="155" t="s">
        <v>113</v>
      </c>
      <c r="AH3" s="154" t="s">
        <v>42</v>
      </c>
      <c r="AI3" s="155" t="s">
        <v>43</v>
      </c>
      <c r="AJ3" s="155" t="s">
        <v>113</v>
      </c>
      <c r="AK3" s="154" t="s">
        <v>42</v>
      </c>
      <c r="AL3" s="155" t="s">
        <v>43</v>
      </c>
      <c r="AM3" s="155" t="s">
        <v>113</v>
      </c>
      <c r="AN3" s="154" t="s">
        <v>42</v>
      </c>
      <c r="AO3" s="155" t="s">
        <v>43</v>
      </c>
      <c r="AP3" s="155" t="s">
        <v>113</v>
      </c>
      <c r="AQ3" s="154" t="s">
        <v>42</v>
      </c>
      <c r="AR3" s="155" t="s">
        <v>43</v>
      </c>
      <c r="AS3" s="155" t="s">
        <v>113</v>
      </c>
      <c r="AT3" s="10" t="s">
        <v>42</v>
      </c>
      <c r="AU3" s="11" t="s">
        <v>43</v>
      </c>
      <c r="AV3" s="11"/>
      <c r="AW3" s="10" t="s">
        <v>42</v>
      </c>
      <c r="AX3" s="11" t="s">
        <v>43</v>
      </c>
      <c r="AY3" s="11"/>
      <c r="AZ3" s="10" t="s">
        <v>42</v>
      </c>
      <c r="BA3" s="11" t="s">
        <v>43</v>
      </c>
      <c r="BB3" s="11"/>
      <c r="BC3" s="10" t="s">
        <v>42</v>
      </c>
      <c r="BD3" s="11" t="s">
        <v>43</v>
      </c>
      <c r="BE3" s="11"/>
      <c r="BF3" s="10" t="s">
        <v>42</v>
      </c>
      <c r="BG3" s="11" t="s">
        <v>43</v>
      </c>
      <c r="BH3" s="11"/>
      <c r="BI3" s="10" t="s">
        <v>42</v>
      </c>
      <c r="BJ3" s="11" t="s">
        <v>43</v>
      </c>
      <c r="BK3" s="11"/>
      <c r="BL3" s="10" t="s">
        <v>42</v>
      </c>
      <c r="BM3" s="11" t="s">
        <v>43</v>
      </c>
      <c r="BN3" s="11"/>
      <c r="BO3" s="10" t="s">
        <v>42</v>
      </c>
      <c r="BP3" s="11" t="s">
        <v>43</v>
      </c>
      <c r="BQ3" s="11"/>
      <c r="BR3" s="10" t="s">
        <v>42</v>
      </c>
      <c r="BS3" s="11" t="s">
        <v>43</v>
      </c>
      <c r="BT3" s="11"/>
      <c r="BU3" s="10" t="s">
        <v>42</v>
      </c>
      <c r="BV3" s="11" t="s">
        <v>43</v>
      </c>
      <c r="BW3" s="11"/>
      <c r="BX3" s="10" t="s">
        <v>42</v>
      </c>
      <c r="BY3" s="11" t="s">
        <v>43</v>
      </c>
      <c r="BZ3" s="11"/>
      <c r="CA3" s="10" t="s">
        <v>42</v>
      </c>
      <c r="CB3" s="11" t="s">
        <v>43</v>
      </c>
      <c r="CC3" s="11"/>
      <c r="CD3" s="11"/>
      <c r="CE3" s="12" t="s">
        <v>44</v>
      </c>
    </row>
    <row r="4" spans="1:83" ht="24" customHeight="1" x14ac:dyDescent="0.25">
      <c r="A4" s="156" t="s">
        <v>24</v>
      </c>
      <c r="B4" s="156" t="s">
        <v>77</v>
      </c>
      <c r="C4" s="156" t="s">
        <v>114</v>
      </c>
      <c r="D4" s="157" t="s">
        <v>115</v>
      </c>
      <c r="E4" s="158" t="s">
        <v>116</v>
      </c>
      <c r="F4" s="159" t="s">
        <v>53</v>
      </c>
      <c r="G4" s="160" t="s">
        <v>86</v>
      </c>
      <c r="H4" s="161">
        <v>1</v>
      </c>
      <c r="I4" s="162">
        <v>6</v>
      </c>
      <c r="J4" s="163">
        <v>0.5</v>
      </c>
      <c r="K4" s="163">
        <f t="shared" ref="K4" si="0">MAX(I4-J4, 0)</f>
        <v>5.5</v>
      </c>
      <c r="L4" s="164" t="s">
        <v>87</v>
      </c>
      <c r="M4" s="163">
        <v>0.2</v>
      </c>
      <c r="N4" s="163">
        <f t="shared" ref="N4" si="1">MAX(K4-M4,0)</f>
        <v>5.3</v>
      </c>
      <c r="O4" s="164" t="s">
        <v>87</v>
      </c>
      <c r="P4" s="163">
        <v>0.3</v>
      </c>
      <c r="Q4" s="163">
        <f t="shared" ref="Q4" si="2">MAX(N4-P4,0)</f>
        <v>5</v>
      </c>
      <c r="R4" s="164" t="s">
        <v>87</v>
      </c>
      <c r="S4" s="163">
        <v>0.3</v>
      </c>
      <c r="T4" s="163">
        <f t="shared" ref="T4" si="3">MAX(Q4-S4,0)</f>
        <v>4.7</v>
      </c>
      <c r="U4" s="164" t="s">
        <v>87</v>
      </c>
      <c r="V4" s="163">
        <v>0.5</v>
      </c>
      <c r="W4" s="163">
        <f t="shared" ref="W4" si="4">MAX(T4-V4,0)</f>
        <v>4.2</v>
      </c>
      <c r="X4" s="164" t="s">
        <v>87</v>
      </c>
      <c r="Y4" s="163">
        <v>0.5</v>
      </c>
      <c r="Z4" s="163">
        <f t="shared" ref="Z4" si="5">MAX(W4-Y4,0)</f>
        <v>3.7</v>
      </c>
      <c r="AA4" s="164" t="s">
        <v>87</v>
      </c>
      <c r="AB4" s="163">
        <v>0.5</v>
      </c>
      <c r="AC4" s="163">
        <f t="shared" ref="AC4" si="6">MAX(Z4-AB4,0)</f>
        <v>3.2</v>
      </c>
      <c r="AD4" s="164" t="s">
        <v>87</v>
      </c>
      <c r="AE4" s="163">
        <v>0.6</v>
      </c>
      <c r="AF4" s="163">
        <f t="shared" ref="AF4" si="7">MAX(AC4-AE4,0)</f>
        <v>2.6</v>
      </c>
      <c r="AG4" s="164" t="s">
        <v>87</v>
      </c>
      <c r="AH4" s="163">
        <v>0.8</v>
      </c>
      <c r="AI4" s="163">
        <f t="shared" ref="AI4" si="8">MAX(AF4-AH4,0)</f>
        <v>1.8</v>
      </c>
      <c r="AJ4" s="164" t="s">
        <v>87</v>
      </c>
      <c r="AK4" s="163">
        <v>0.8</v>
      </c>
      <c r="AL4" s="163">
        <f t="shared" ref="AL4" si="9">MAX(AI4-AK4,0)</f>
        <v>1</v>
      </c>
      <c r="AM4" s="164" t="s">
        <v>87</v>
      </c>
      <c r="AN4" s="163">
        <v>0.6</v>
      </c>
      <c r="AO4" s="163">
        <f t="shared" ref="AO4" si="10">MAX(AL4-AN4,0)</f>
        <v>0.4</v>
      </c>
      <c r="AP4" s="164" t="s">
        <v>87</v>
      </c>
      <c r="AQ4" s="163">
        <v>0.4</v>
      </c>
      <c r="AR4" s="163">
        <f t="shared" ref="AR4" si="11">MAX(AO4-AQ4,0)</f>
        <v>0</v>
      </c>
      <c r="AS4" s="164" t="s">
        <v>86</v>
      </c>
      <c r="AT4" s="19"/>
      <c r="AU4" s="19">
        <f t="shared" ref="AU4" si="12">MAX(AR4-AT4,0)</f>
        <v>0</v>
      </c>
      <c r="AV4" s="20"/>
      <c r="AW4" s="19"/>
      <c r="AX4" s="19">
        <f t="shared" ref="AX4" si="13">MAX(AU4-AW4,0)</f>
        <v>0</v>
      </c>
      <c r="AY4" s="20"/>
      <c r="AZ4" s="19"/>
      <c r="BA4" s="19"/>
      <c r="BB4" s="20"/>
      <c r="BC4" s="19"/>
      <c r="BD4" s="19">
        <f t="shared" ref="BD4" si="14">MAX(BA4-BC4,0)</f>
        <v>0</v>
      </c>
      <c r="BE4" s="20"/>
      <c r="BF4" s="19"/>
      <c r="BG4" s="19">
        <f t="shared" ref="BG4" si="15">MAX(BD4-BF4,0)</f>
        <v>0</v>
      </c>
      <c r="BH4" s="20"/>
      <c r="BI4" s="19"/>
      <c r="BJ4" s="19">
        <f t="shared" ref="BJ4" si="16">MAX(BG4-BI4,0)</f>
        <v>0</v>
      </c>
      <c r="BK4" s="20"/>
      <c r="BL4" s="19"/>
      <c r="BM4" s="19">
        <f t="shared" ref="BM4" si="17">MAX(BJ4-BL4,0)</f>
        <v>0</v>
      </c>
      <c r="BN4" s="20"/>
      <c r="BO4" s="19"/>
      <c r="BP4" s="19">
        <f t="shared" ref="BP4" si="18">MAX(BM4-BO4,0)</f>
        <v>0</v>
      </c>
      <c r="BQ4" s="20"/>
      <c r="BR4" s="19"/>
      <c r="BS4" s="19">
        <f t="shared" ref="BS4" si="19">MAX(BP4-BR4,0)</f>
        <v>0</v>
      </c>
      <c r="BT4" s="20"/>
      <c r="BU4" s="19"/>
      <c r="BV4" s="19">
        <f t="shared" ref="BV4" si="20">MAX(BS4-BU4,0)</f>
        <v>0</v>
      </c>
      <c r="BW4" s="20"/>
      <c r="BX4" s="19"/>
      <c r="BY4" s="19">
        <f t="shared" ref="BY4" si="21">MAX(BV4-BX4,0)</f>
        <v>0</v>
      </c>
      <c r="BZ4" s="20"/>
      <c r="CA4" s="19"/>
      <c r="CB4" s="19">
        <f t="shared" ref="CB4" si="22">MAX(BY4-CA4,0)</f>
        <v>0</v>
      </c>
      <c r="CC4" s="20"/>
      <c r="CD4" s="21"/>
      <c r="CE4" s="22"/>
    </row>
    <row r="5" spans="1:83" ht="24" customHeight="1" x14ac:dyDescent="0.25">
      <c r="A5" s="156" t="s">
        <v>24</v>
      </c>
      <c r="B5" s="156" t="s">
        <v>78</v>
      </c>
      <c r="C5" s="156" t="s">
        <v>114</v>
      </c>
      <c r="D5" s="157" t="s">
        <v>117</v>
      </c>
      <c r="E5" s="158" t="s">
        <v>118</v>
      </c>
      <c r="F5" s="159" t="s">
        <v>58</v>
      </c>
      <c r="G5" s="160" t="str">
        <f t="shared" ref="G5:G66" ca="1" si="23">(INDEX(Burndown,ROW(G5)-ROW(G$3),MIN(TODAY()-SprintStart,29)*3+3))</f>
        <v>In Progress</v>
      </c>
      <c r="H5" s="161">
        <v>1</v>
      </c>
      <c r="I5" s="162">
        <v>5</v>
      </c>
      <c r="J5" s="163">
        <v>0.4</v>
      </c>
      <c r="K5" s="163">
        <f t="shared" ref="K5:K65" si="24">MAX(I5-J5, 0)</f>
        <v>4.5999999999999996</v>
      </c>
      <c r="L5" s="164" t="s">
        <v>87</v>
      </c>
      <c r="M5" s="163">
        <v>0.2</v>
      </c>
      <c r="N5" s="163">
        <f t="shared" ref="N5:N65" si="25">MAX(K5-M5,0)</f>
        <v>4.3999999999999995</v>
      </c>
      <c r="O5" s="164" t="s">
        <v>87</v>
      </c>
      <c r="P5" s="163">
        <v>0.2</v>
      </c>
      <c r="Q5" s="163">
        <f t="shared" ref="Q5:Q65" si="26">MAX(N5-P5,0)</f>
        <v>4.1999999999999993</v>
      </c>
      <c r="R5" s="164" t="s">
        <v>87</v>
      </c>
      <c r="S5" s="163">
        <v>0.3</v>
      </c>
      <c r="T5" s="163">
        <f t="shared" ref="T5:T65" si="27">MAX(Q5-S5,0)</f>
        <v>3.8999999999999995</v>
      </c>
      <c r="U5" s="164" t="s">
        <v>87</v>
      </c>
      <c r="V5" s="163">
        <v>0.4</v>
      </c>
      <c r="W5" s="163">
        <f t="shared" ref="W5:W65" si="28">MAX(T5-V5,0)</f>
        <v>3.4999999999999996</v>
      </c>
      <c r="X5" s="164" t="s">
        <v>87</v>
      </c>
      <c r="Y5" s="163">
        <v>0.4</v>
      </c>
      <c r="Z5" s="163">
        <f t="shared" ref="Z5:Z65" si="29">MAX(W5-Y5,0)</f>
        <v>3.0999999999999996</v>
      </c>
      <c r="AA5" s="164" t="s">
        <v>87</v>
      </c>
      <c r="AB5" s="163">
        <v>0.4</v>
      </c>
      <c r="AC5" s="163">
        <f t="shared" ref="AC5:AC65" si="30">MAX(Z5-AB5,0)</f>
        <v>2.6999999999999997</v>
      </c>
      <c r="AD5" s="164" t="s">
        <v>87</v>
      </c>
      <c r="AE5" s="163">
        <v>0.6</v>
      </c>
      <c r="AF5" s="163">
        <f t="shared" ref="AF5:AF65" si="31">MAX(AC5-AE5,0)</f>
        <v>2.0999999999999996</v>
      </c>
      <c r="AG5" s="164" t="s">
        <v>87</v>
      </c>
      <c r="AH5" s="163">
        <v>0.6</v>
      </c>
      <c r="AI5" s="163">
        <f t="shared" ref="AI5:AI65" si="32">MAX(AF5-AH5,0)</f>
        <v>1.4999999999999996</v>
      </c>
      <c r="AJ5" s="164" t="s">
        <v>87</v>
      </c>
      <c r="AK5" s="163">
        <v>0.7</v>
      </c>
      <c r="AL5" s="163">
        <f t="shared" ref="AL5:AL65" si="33">MAX(AI5-AK5,0)</f>
        <v>0.7999999999999996</v>
      </c>
      <c r="AM5" s="164" t="s">
        <v>87</v>
      </c>
      <c r="AN5" s="163">
        <v>0.5</v>
      </c>
      <c r="AO5" s="163">
        <f t="shared" ref="AO5:AO65" si="34">MAX(AL5-AN5,0)</f>
        <v>0.2999999999999996</v>
      </c>
      <c r="AP5" s="164" t="s">
        <v>87</v>
      </c>
      <c r="AQ5" s="163">
        <v>0.3</v>
      </c>
      <c r="AR5" s="163">
        <f t="shared" ref="AR5:AR65" si="35">MAX(AO5-AQ5,0)</f>
        <v>0</v>
      </c>
      <c r="AS5" s="164" t="s">
        <v>86</v>
      </c>
      <c r="AT5" s="19"/>
      <c r="AU5" s="19">
        <f t="shared" ref="AU5:AU65" si="36">MAX(AR5-AT5,0)</f>
        <v>0</v>
      </c>
      <c r="AV5" s="20"/>
      <c r="AW5" s="19"/>
      <c r="AX5" s="19">
        <f t="shared" ref="AX5:AX65" si="37">MAX(AU5-AW5,0)</f>
        <v>0</v>
      </c>
      <c r="AY5" s="20"/>
      <c r="AZ5" s="19"/>
      <c r="BA5" s="19">
        <f t="shared" ref="BA5:BA19" si="38">MAX(AX5-AZ5,0)</f>
        <v>0</v>
      </c>
      <c r="BB5" s="20"/>
      <c r="BC5" s="19"/>
      <c r="BD5" s="19">
        <f t="shared" ref="BD5:BD65" si="39">MAX(BA5-BC5,0)</f>
        <v>0</v>
      </c>
      <c r="BE5" s="20"/>
      <c r="BF5" s="19"/>
      <c r="BG5" s="19">
        <f t="shared" ref="BG5:BG65" si="40">MAX(BD5-BF5,0)</f>
        <v>0</v>
      </c>
      <c r="BH5" s="20"/>
      <c r="BI5" s="19"/>
      <c r="BJ5" s="19">
        <f t="shared" ref="BJ5:BJ65" si="41">MAX(BG5-BI5,0)</f>
        <v>0</v>
      </c>
      <c r="BK5" s="20"/>
      <c r="BL5" s="19"/>
      <c r="BM5" s="19">
        <f t="shared" ref="BM5:BM65" si="42">MAX(BJ5-BL5,0)</f>
        <v>0</v>
      </c>
      <c r="BN5" s="20"/>
      <c r="BO5" s="19"/>
      <c r="BP5" s="19">
        <f t="shared" ref="BP5:BP65" si="43">MAX(BM5-BO5,0)</f>
        <v>0</v>
      </c>
      <c r="BQ5" s="20"/>
      <c r="BR5" s="19"/>
      <c r="BS5" s="19">
        <f t="shared" ref="BS5:BS65" si="44">MAX(BP5-BR5,0)</f>
        <v>0</v>
      </c>
      <c r="BT5" s="20"/>
      <c r="BU5" s="19"/>
      <c r="BV5" s="19">
        <f t="shared" ref="BV5:BV65" si="45">MAX(BS5-BU5,0)</f>
        <v>0</v>
      </c>
      <c r="BW5" s="20"/>
      <c r="BX5" s="19"/>
      <c r="BY5" s="19">
        <f t="shared" ref="BY5:BY65" si="46">MAX(BV5-BX5,0)</f>
        <v>0</v>
      </c>
      <c r="BZ5" s="20"/>
      <c r="CA5" s="19"/>
      <c r="CB5" s="19">
        <f t="shared" ref="CB5:CB65" si="47">MAX(BY5-CA5,0)</f>
        <v>0</v>
      </c>
      <c r="CC5" s="20"/>
      <c r="CD5" s="21"/>
      <c r="CE5" s="22"/>
    </row>
    <row r="6" spans="1:83" ht="24" customHeight="1" x14ac:dyDescent="0.25">
      <c r="A6" s="156" t="s">
        <v>24</v>
      </c>
      <c r="B6" s="156" t="s">
        <v>79</v>
      </c>
      <c r="C6" s="156" t="s">
        <v>114</v>
      </c>
      <c r="D6" s="157" t="s">
        <v>119</v>
      </c>
      <c r="E6" s="158" t="s">
        <v>120</v>
      </c>
      <c r="F6" s="159" t="s">
        <v>53</v>
      </c>
      <c r="G6" s="160" t="str">
        <f t="shared" ca="1" si="23"/>
        <v>In Progress</v>
      </c>
      <c r="H6" s="161">
        <v>1</v>
      </c>
      <c r="I6" s="162">
        <v>8</v>
      </c>
      <c r="J6" s="163">
        <v>0.6</v>
      </c>
      <c r="K6" s="163">
        <f t="shared" ref="K6" si="48">MAX(I6-J6, 0)</f>
        <v>7.4</v>
      </c>
      <c r="L6" s="164" t="s">
        <v>87</v>
      </c>
      <c r="M6" s="163">
        <v>0.4</v>
      </c>
      <c r="N6" s="163">
        <f t="shared" ref="N6" si="49">MAX(K6-M6,0)</f>
        <v>7</v>
      </c>
      <c r="O6" s="164" t="s">
        <v>87</v>
      </c>
      <c r="P6" s="163">
        <v>0.3</v>
      </c>
      <c r="Q6" s="163">
        <f t="shared" ref="Q6" si="50">MAX(N6-P6,0)</f>
        <v>6.7</v>
      </c>
      <c r="R6" s="164" t="s">
        <v>87</v>
      </c>
      <c r="S6" s="163">
        <v>0.5</v>
      </c>
      <c r="T6" s="163">
        <f t="shared" ref="T6" si="51">MAX(Q6-S6,0)</f>
        <v>6.2</v>
      </c>
      <c r="U6" s="164" t="s">
        <v>87</v>
      </c>
      <c r="V6" s="163">
        <v>0.6</v>
      </c>
      <c r="W6" s="163">
        <f t="shared" ref="W6" si="52">MAX(T6-V6,0)</f>
        <v>5.6000000000000005</v>
      </c>
      <c r="X6" s="164" t="s">
        <v>87</v>
      </c>
      <c r="Y6" s="163">
        <v>0.6</v>
      </c>
      <c r="Z6" s="163">
        <f t="shared" ref="Z6" si="53">MAX(W6-Y6,0)</f>
        <v>5.0000000000000009</v>
      </c>
      <c r="AA6" s="164" t="s">
        <v>87</v>
      </c>
      <c r="AB6" s="163">
        <v>0.7</v>
      </c>
      <c r="AC6" s="163">
        <f t="shared" ref="AC6" si="54">MAX(Z6-AB6,0)</f>
        <v>4.3000000000000007</v>
      </c>
      <c r="AD6" s="164" t="s">
        <v>87</v>
      </c>
      <c r="AE6" s="163">
        <v>0.9</v>
      </c>
      <c r="AF6" s="163">
        <f t="shared" ref="AF6" si="55">MAX(AC6-AE6,0)</f>
        <v>3.4000000000000008</v>
      </c>
      <c r="AG6" s="164" t="s">
        <v>87</v>
      </c>
      <c r="AH6" s="163">
        <v>1</v>
      </c>
      <c r="AI6" s="163">
        <f t="shared" ref="AI6" si="56">MAX(AF6-AH6,0)</f>
        <v>2.4000000000000008</v>
      </c>
      <c r="AJ6" s="164" t="s">
        <v>87</v>
      </c>
      <c r="AK6" s="163">
        <v>1.1000000000000001</v>
      </c>
      <c r="AL6" s="163">
        <f t="shared" ref="AL6" si="57">MAX(AI6-AK6,0)</f>
        <v>1.3000000000000007</v>
      </c>
      <c r="AM6" s="164" t="s">
        <v>87</v>
      </c>
      <c r="AN6" s="163">
        <v>0.8</v>
      </c>
      <c r="AO6" s="163">
        <f t="shared" ref="AO6" si="58">MAX(AL6-AN6,0)</f>
        <v>0.50000000000000067</v>
      </c>
      <c r="AP6" s="164" t="s">
        <v>87</v>
      </c>
      <c r="AQ6" s="163">
        <v>0.5</v>
      </c>
      <c r="AR6" s="163">
        <f t="shared" ref="AR6" si="59">MAX(AO6-AQ6,0)</f>
        <v>6.6613381477509392E-16</v>
      </c>
      <c r="AS6" s="164" t="s">
        <v>86</v>
      </c>
      <c r="AT6" s="19"/>
      <c r="AU6" s="19">
        <f t="shared" ref="AU6" si="60">MAX(AR6-AT6,0)</f>
        <v>6.6613381477509392E-16</v>
      </c>
      <c r="AV6" s="20"/>
      <c r="AW6" s="19"/>
      <c r="AX6" s="19">
        <f t="shared" ref="AX6" si="61">MAX(AU6-AW6,0)</f>
        <v>6.6613381477509392E-16</v>
      </c>
      <c r="AY6" s="20"/>
      <c r="AZ6" s="19"/>
      <c r="BA6" s="19">
        <f t="shared" ref="BA6" si="62">MAX(AX6-AZ6,0)</f>
        <v>6.6613381477509392E-16</v>
      </c>
      <c r="BB6" s="20"/>
      <c r="BC6" s="19"/>
      <c r="BD6" s="19">
        <f t="shared" ref="BD6" si="63">MAX(BA6-BC6,0)</f>
        <v>6.6613381477509392E-16</v>
      </c>
      <c r="BE6" s="20"/>
      <c r="BF6" s="19"/>
      <c r="BG6" s="19">
        <f t="shared" ref="BG6" si="64">MAX(BD6-BF6,0)</f>
        <v>6.6613381477509392E-16</v>
      </c>
      <c r="BH6" s="20"/>
      <c r="BI6" s="19"/>
      <c r="BJ6" s="19">
        <f t="shared" ref="BJ6" si="65">MAX(BG6-BI6,0)</f>
        <v>6.6613381477509392E-16</v>
      </c>
      <c r="BK6" s="20"/>
      <c r="BL6" s="19"/>
      <c r="BM6" s="19">
        <f t="shared" ref="BM6" si="66">MAX(BJ6-BL6,0)</f>
        <v>6.6613381477509392E-16</v>
      </c>
      <c r="BN6" s="20"/>
      <c r="BO6" s="19"/>
      <c r="BP6" s="19">
        <f t="shared" ref="BP6" si="67">MAX(BM6-BO6,0)</f>
        <v>6.6613381477509392E-16</v>
      </c>
      <c r="BQ6" s="20"/>
      <c r="BR6" s="19"/>
      <c r="BS6" s="19">
        <f t="shared" ref="BS6" si="68">MAX(BP6-BR6,0)</f>
        <v>6.6613381477509392E-16</v>
      </c>
      <c r="BT6" s="20"/>
      <c r="BU6" s="19"/>
      <c r="BV6" s="19">
        <f t="shared" ref="BV6" si="69">MAX(BS6-BU6,0)</f>
        <v>6.6613381477509392E-16</v>
      </c>
      <c r="BW6" s="20"/>
      <c r="BX6" s="19"/>
      <c r="BY6" s="19">
        <f t="shared" ref="BY6" si="70">MAX(BV6-BX6,0)</f>
        <v>6.6613381477509392E-16</v>
      </c>
      <c r="BZ6" s="20"/>
      <c r="CA6" s="19"/>
      <c r="CB6" s="19">
        <f t="shared" ref="CB6" si="71">MAX(BY6-CA6,0)</f>
        <v>6.6613381477509392E-16</v>
      </c>
      <c r="CC6" s="20"/>
      <c r="CD6" s="21"/>
      <c r="CE6" s="22"/>
    </row>
    <row r="7" spans="1:83" ht="24" customHeight="1" x14ac:dyDescent="0.25">
      <c r="A7" s="156" t="s">
        <v>24</v>
      </c>
      <c r="B7" s="156" t="s">
        <v>79</v>
      </c>
      <c r="C7" s="156" t="s">
        <v>114</v>
      </c>
      <c r="D7" s="157" t="s">
        <v>121</v>
      </c>
      <c r="E7" s="158" t="s">
        <v>122</v>
      </c>
      <c r="F7" s="159" t="s">
        <v>61</v>
      </c>
      <c r="G7" s="160" t="str">
        <f t="shared" ca="1" si="23"/>
        <v>In Progress</v>
      </c>
      <c r="H7" s="161">
        <v>1</v>
      </c>
      <c r="I7" s="162">
        <v>8</v>
      </c>
      <c r="J7" s="163">
        <v>0.6</v>
      </c>
      <c r="K7" s="163">
        <f t="shared" si="24"/>
        <v>7.4</v>
      </c>
      <c r="L7" s="164" t="s">
        <v>87</v>
      </c>
      <c r="M7" s="163">
        <v>0.4</v>
      </c>
      <c r="N7" s="163">
        <f t="shared" si="25"/>
        <v>7</v>
      </c>
      <c r="O7" s="164" t="s">
        <v>87</v>
      </c>
      <c r="P7" s="163">
        <v>0.3</v>
      </c>
      <c r="Q7" s="163">
        <f t="shared" si="26"/>
        <v>6.7</v>
      </c>
      <c r="R7" s="164" t="s">
        <v>87</v>
      </c>
      <c r="S7" s="163">
        <v>0.5</v>
      </c>
      <c r="T7" s="163">
        <f t="shared" si="27"/>
        <v>6.2</v>
      </c>
      <c r="U7" s="164" t="s">
        <v>87</v>
      </c>
      <c r="V7" s="163">
        <v>0.6</v>
      </c>
      <c r="W7" s="163">
        <f t="shared" si="28"/>
        <v>5.6000000000000005</v>
      </c>
      <c r="X7" s="164" t="s">
        <v>87</v>
      </c>
      <c r="Y7" s="163">
        <v>0.6</v>
      </c>
      <c r="Z7" s="163">
        <f t="shared" si="29"/>
        <v>5.0000000000000009</v>
      </c>
      <c r="AA7" s="164" t="s">
        <v>87</v>
      </c>
      <c r="AB7" s="163">
        <v>0.7</v>
      </c>
      <c r="AC7" s="163">
        <f t="shared" si="30"/>
        <v>4.3000000000000007</v>
      </c>
      <c r="AD7" s="164" t="s">
        <v>87</v>
      </c>
      <c r="AE7" s="163">
        <v>0.9</v>
      </c>
      <c r="AF7" s="163">
        <f t="shared" si="31"/>
        <v>3.4000000000000008</v>
      </c>
      <c r="AG7" s="164" t="s">
        <v>87</v>
      </c>
      <c r="AH7" s="163">
        <v>1</v>
      </c>
      <c r="AI7" s="163">
        <f t="shared" si="32"/>
        <v>2.4000000000000008</v>
      </c>
      <c r="AJ7" s="164" t="s">
        <v>87</v>
      </c>
      <c r="AK7" s="163">
        <v>1.1000000000000001</v>
      </c>
      <c r="AL7" s="163">
        <f t="shared" si="33"/>
        <v>1.3000000000000007</v>
      </c>
      <c r="AM7" s="164" t="s">
        <v>87</v>
      </c>
      <c r="AN7" s="163">
        <v>0.8</v>
      </c>
      <c r="AO7" s="163">
        <f t="shared" si="34"/>
        <v>0.50000000000000067</v>
      </c>
      <c r="AP7" s="164" t="s">
        <v>87</v>
      </c>
      <c r="AQ7" s="163">
        <v>0.5</v>
      </c>
      <c r="AR7" s="163">
        <f t="shared" si="35"/>
        <v>6.6613381477509392E-16</v>
      </c>
      <c r="AS7" s="164" t="s">
        <v>86</v>
      </c>
      <c r="AT7" s="19"/>
      <c r="AU7" s="19">
        <f t="shared" si="36"/>
        <v>6.6613381477509392E-16</v>
      </c>
      <c r="AV7" s="20"/>
      <c r="AW7" s="19"/>
      <c r="AX7" s="19">
        <f t="shared" si="37"/>
        <v>6.6613381477509392E-16</v>
      </c>
      <c r="AY7" s="20"/>
      <c r="AZ7" s="19"/>
      <c r="BA7" s="19">
        <f t="shared" si="38"/>
        <v>6.6613381477509392E-16</v>
      </c>
      <c r="BB7" s="20"/>
      <c r="BC7" s="19"/>
      <c r="BD7" s="19">
        <f t="shared" si="39"/>
        <v>6.6613381477509392E-16</v>
      </c>
      <c r="BE7" s="20"/>
      <c r="BF7" s="19"/>
      <c r="BG7" s="19">
        <f t="shared" si="40"/>
        <v>6.6613381477509392E-16</v>
      </c>
      <c r="BH7" s="20"/>
      <c r="BI7" s="19"/>
      <c r="BJ7" s="19">
        <f t="shared" si="41"/>
        <v>6.6613381477509392E-16</v>
      </c>
      <c r="BK7" s="20"/>
      <c r="BL7" s="19"/>
      <c r="BM7" s="19">
        <f t="shared" si="42"/>
        <v>6.6613381477509392E-16</v>
      </c>
      <c r="BN7" s="20"/>
      <c r="BO7" s="19"/>
      <c r="BP7" s="19">
        <f t="shared" si="43"/>
        <v>6.6613381477509392E-16</v>
      </c>
      <c r="BQ7" s="20"/>
      <c r="BR7" s="19"/>
      <c r="BS7" s="19">
        <f t="shared" si="44"/>
        <v>6.6613381477509392E-16</v>
      </c>
      <c r="BT7" s="20"/>
      <c r="BU7" s="19"/>
      <c r="BV7" s="19">
        <f t="shared" si="45"/>
        <v>6.6613381477509392E-16</v>
      </c>
      <c r="BW7" s="20"/>
      <c r="BX7" s="19"/>
      <c r="BY7" s="19">
        <f t="shared" si="46"/>
        <v>6.6613381477509392E-16</v>
      </c>
      <c r="BZ7" s="20"/>
      <c r="CA7" s="19"/>
      <c r="CB7" s="19">
        <f t="shared" si="47"/>
        <v>6.6613381477509392E-16</v>
      </c>
      <c r="CC7" s="20"/>
      <c r="CD7" s="21"/>
      <c r="CE7" s="22"/>
    </row>
    <row r="8" spans="1:83" ht="24" customHeight="1" x14ac:dyDescent="0.25">
      <c r="A8" s="156" t="s">
        <v>24</v>
      </c>
      <c r="B8" s="156" t="s">
        <v>79</v>
      </c>
      <c r="C8" s="156" t="s">
        <v>114</v>
      </c>
      <c r="D8" s="157" t="s">
        <v>123</v>
      </c>
      <c r="E8" s="158" t="s">
        <v>124</v>
      </c>
      <c r="F8" s="159" t="s">
        <v>64</v>
      </c>
      <c r="G8" s="160" t="str">
        <f t="shared" ca="1" si="23"/>
        <v>In Progress</v>
      </c>
      <c r="H8" s="161">
        <v>1</v>
      </c>
      <c r="I8" s="162">
        <v>6</v>
      </c>
      <c r="J8" s="163">
        <v>0.5</v>
      </c>
      <c r="K8" s="163">
        <f t="shared" si="24"/>
        <v>5.5</v>
      </c>
      <c r="L8" s="164" t="s">
        <v>87</v>
      </c>
      <c r="M8" s="163">
        <v>0.2</v>
      </c>
      <c r="N8" s="163">
        <f t="shared" si="25"/>
        <v>5.3</v>
      </c>
      <c r="O8" s="164" t="s">
        <v>87</v>
      </c>
      <c r="P8" s="163">
        <v>0.3</v>
      </c>
      <c r="Q8" s="163">
        <f t="shared" si="26"/>
        <v>5</v>
      </c>
      <c r="R8" s="164" t="s">
        <v>87</v>
      </c>
      <c r="S8" s="163">
        <v>0.3</v>
      </c>
      <c r="T8" s="163">
        <f t="shared" si="27"/>
        <v>4.7</v>
      </c>
      <c r="U8" s="164" t="s">
        <v>87</v>
      </c>
      <c r="V8" s="163">
        <v>0.5</v>
      </c>
      <c r="W8" s="163">
        <f t="shared" si="28"/>
        <v>4.2</v>
      </c>
      <c r="X8" s="164" t="s">
        <v>87</v>
      </c>
      <c r="Y8" s="163">
        <v>0.5</v>
      </c>
      <c r="Z8" s="163">
        <f t="shared" si="29"/>
        <v>3.7</v>
      </c>
      <c r="AA8" s="164" t="s">
        <v>87</v>
      </c>
      <c r="AB8" s="163">
        <v>0.5</v>
      </c>
      <c r="AC8" s="163">
        <f t="shared" si="30"/>
        <v>3.2</v>
      </c>
      <c r="AD8" s="164" t="s">
        <v>87</v>
      </c>
      <c r="AE8" s="163">
        <v>0.6</v>
      </c>
      <c r="AF8" s="163">
        <f t="shared" si="31"/>
        <v>2.6</v>
      </c>
      <c r="AG8" s="164" t="s">
        <v>87</v>
      </c>
      <c r="AH8" s="163">
        <v>0.8</v>
      </c>
      <c r="AI8" s="163">
        <f t="shared" si="32"/>
        <v>1.8</v>
      </c>
      <c r="AJ8" s="164" t="s">
        <v>87</v>
      </c>
      <c r="AK8" s="163">
        <v>0.8</v>
      </c>
      <c r="AL8" s="163">
        <f t="shared" si="33"/>
        <v>1</v>
      </c>
      <c r="AM8" s="164" t="s">
        <v>87</v>
      </c>
      <c r="AN8" s="163">
        <v>0.6</v>
      </c>
      <c r="AO8" s="163">
        <f t="shared" si="34"/>
        <v>0.4</v>
      </c>
      <c r="AP8" s="164" t="s">
        <v>87</v>
      </c>
      <c r="AQ8" s="163">
        <v>0.4</v>
      </c>
      <c r="AR8" s="163">
        <f t="shared" si="35"/>
        <v>0</v>
      </c>
      <c r="AS8" s="164" t="s">
        <v>86</v>
      </c>
      <c r="AT8" s="19"/>
      <c r="AU8" s="19">
        <f t="shared" si="36"/>
        <v>0</v>
      </c>
      <c r="AV8" s="20"/>
      <c r="AW8" s="19"/>
      <c r="AX8" s="19">
        <f t="shared" si="37"/>
        <v>0</v>
      </c>
      <c r="AY8" s="20"/>
      <c r="AZ8" s="19"/>
      <c r="BA8" s="19">
        <f t="shared" si="38"/>
        <v>0</v>
      </c>
      <c r="BB8" s="20"/>
      <c r="BC8" s="19"/>
      <c r="BD8" s="19">
        <f t="shared" si="39"/>
        <v>0</v>
      </c>
      <c r="BE8" s="20"/>
      <c r="BF8" s="19"/>
      <c r="BG8" s="19">
        <f t="shared" si="40"/>
        <v>0</v>
      </c>
      <c r="BH8" s="20"/>
      <c r="BI8" s="19"/>
      <c r="BJ8" s="19">
        <f t="shared" si="41"/>
        <v>0</v>
      </c>
      <c r="BK8" s="20"/>
      <c r="BL8" s="19"/>
      <c r="BM8" s="19">
        <f t="shared" si="42"/>
        <v>0</v>
      </c>
      <c r="BN8" s="20"/>
      <c r="BO8" s="19"/>
      <c r="BP8" s="19">
        <f t="shared" si="43"/>
        <v>0</v>
      </c>
      <c r="BQ8" s="20"/>
      <c r="BR8" s="19"/>
      <c r="BS8" s="19">
        <f t="shared" si="44"/>
        <v>0</v>
      </c>
      <c r="BT8" s="20"/>
      <c r="BU8" s="19"/>
      <c r="BV8" s="19">
        <f t="shared" si="45"/>
        <v>0</v>
      </c>
      <c r="BW8" s="20"/>
      <c r="BX8" s="19"/>
      <c r="BY8" s="19">
        <f t="shared" si="46"/>
        <v>0</v>
      </c>
      <c r="BZ8" s="20"/>
      <c r="CA8" s="19"/>
      <c r="CB8" s="19">
        <f t="shared" si="47"/>
        <v>0</v>
      </c>
      <c r="CC8" s="20"/>
      <c r="CD8" s="21"/>
      <c r="CE8" s="22"/>
    </row>
    <row r="9" spans="1:83" ht="24" customHeight="1" x14ac:dyDescent="0.25">
      <c r="A9" s="156" t="s">
        <v>24</v>
      </c>
      <c r="B9" s="156" t="s">
        <v>80</v>
      </c>
      <c r="C9" s="156" t="s">
        <v>114</v>
      </c>
      <c r="D9" s="157" t="s">
        <v>125</v>
      </c>
      <c r="E9" s="158" t="s">
        <v>126</v>
      </c>
      <c r="F9" s="159" t="s">
        <v>58</v>
      </c>
      <c r="G9" s="160" t="str">
        <f t="shared" ca="1" si="23"/>
        <v>In Progress</v>
      </c>
      <c r="H9" s="161">
        <v>2</v>
      </c>
      <c r="I9" s="162">
        <v>5</v>
      </c>
      <c r="J9" s="163">
        <v>0.4</v>
      </c>
      <c r="K9" s="163">
        <f t="shared" si="24"/>
        <v>4.5999999999999996</v>
      </c>
      <c r="L9" s="164" t="s">
        <v>87</v>
      </c>
      <c r="M9" s="163">
        <v>0.2</v>
      </c>
      <c r="N9" s="163">
        <f t="shared" si="25"/>
        <v>4.3999999999999995</v>
      </c>
      <c r="O9" s="164" t="s">
        <v>87</v>
      </c>
      <c r="P9" s="163">
        <v>0.2</v>
      </c>
      <c r="Q9" s="163">
        <f t="shared" si="26"/>
        <v>4.1999999999999993</v>
      </c>
      <c r="R9" s="164" t="s">
        <v>87</v>
      </c>
      <c r="S9" s="163">
        <v>0.3</v>
      </c>
      <c r="T9" s="163">
        <f t="shared" si="27"/>
        <v>3.8999999999999995</v>
      </c>
      <c r="U9" s="164" t="s">
        <v>87</v>
      </c>
      <c r="V9" s="163">
        <v>0.4</v>
      </c>
      <c r="W9" s="163">
        <f t="shared" si="28"/>
        <v>3.4999999999999996</v>
      </c>
      <c r="X9" s="164" t="s">
        <v>87</v>
      </c>
      <c r="Y9" s="163">
        <v>0.4</v>
      </c>
      <c r="Z9" s="163">
        <f t="shared" si="29"/>
        <v>3.0999999999999996</v>
      </c>
      <c r="AA9" s="164" t="s">
        <v>87</v>
      </c>
      <c r="AB9" s="163">
        <v>0.4</v>
      </c>
      <c r="AC9" s="163">
        <f t="shared" si="30"/>
        <v>2.6999999999999997</v>
      </c>
      <c r="AD9" s="164" t="s">
        <v>87</v>
      </c>
      <c r="AE9" s="163">
        <v>0.6</v>
      </c>
      <c r="AF9" s="163">
        <f t="shared" si="31"/>
        <v>2.0999999999999996</v>
      </c>
      <c r="AG9" s="164" t="s">
        <v>87</v>
      </c>
      <c r="AH9" s="163">
        <v>0.6</v>
      </c>
      <c r="AI9" s="163">
        <f t="shared" si="32"/>
        <v>1.4999999999999996</v>
      </c>
      <c r="AJ9" s="164" t="s">
        <v>87</v>
      </c>
      <c r="AK9" s="163">
        <v>0.7</v>
      </c>
      <c r="AL9" s="163">
        <f t="shared" si="33"/>
        <v>0.7999999999999996</v>
      </c>
      <c r="AM9" s="164" t="s">
        <v>87</v>
      </c>
      <c r="AN9" s="163">
        <v>0.5</v>
      </c>
      <c r="AO9" s="163">
        <f t="shared" si="34"/>
        <v>0.2999999999999996</v>
      </c>
      <c r="AP9" s="164" t="s">
        <v>87</v>
      </c>
      <c r="AQ9" s="163">
        <v>0.3</v>
      </c>
      <c r="AR9" s="163">
        <f t="shared" si="35"/>
        <v>0</v>
      </c>
      <c r="AS9" s="164" t="s">
        <v>86</v>
      </c>
      <c r="AT9" s="19"/>
      <c r="AU9" s="19">
        <f t="shared" si="36"/>
        <v>0</v>
      </c>
      <c r="AV9" s="20"/>
      <c r="AW9" s="19"/>
      <c r="AX9" s="19">
        <f t="shared" si="37"/>
        <v>0</v>
      </c>
      <c r="AY9" s="20"/>
      <c r="AZ9" s="19"/>
      <c r="BA9" s="19">
        <f t="shared" si="38"/>
        <v>0</v>
      </c>
      <c r="BB9" s="20"/>
      <c r="BC9" s="19"/>
      <c r="BD9" s="19">
        <f t="shared" si="39"/>
        <v>0</v>
      </c>
      <c r="BE9" s="20"/>
      <c r="BF9" s="19"/>
      <c r="BG9" s="19">
        <f t="shared" si="40"/>
        <v>0</v>
      </c>
      <c r="BH9" s="20"/>
      <c r="BI9" s="19"/>
      <c r="BJ9" s="19">
        <f t="shared" si="41"/>
        <v>0</v>
      </c>
      <c r="BK9" s="20"/>
      <c r="BL9" s="19"/>
      <c r="BM9" s="19">
        <f t="shared" si="42"/>
        <v>0</v>
      </c>
      <c r="BN9" s="20"/>
      <c r="BO9" s="19"/>
      <c r="BP9" s="19">
        <f t="shared" si="43"/>
        <v>0</v>
      </c>
      <c r="BQ9" s="20"/>
      <c r="BR9" s="19"/>
      <c r="BS9" s="19">
        <f t="shared" si="44"/>
        <v>0</v>
      </c>
      <c r="BT9" s="20"/>
      <c r="BU9" s="19"/>
      <c r="BV9" s="19">
        <f t="shared" si="45"/>
        <v>0</v>
      </c>
      <c r="BW9" s="20"/>
      <c r="BX9" s="19"/>
      <c r="BY9" s="19">
        <f t="shared" si="46"/>
        <v>0</v>
      </c>
      <c r="BZ9" s="20"/>
      <c r="CA9" s="19"/>
      <c r="CB9" s="19">
        <f t="shared" si="47"/>
        <v>0</v>
      </c>
      <c r="CC9" s="20"/>
      <c r="CD9" s="21"/>
      <c r="CE9" s="22"/>
    </row>
    <row r="10" spans="1:83" ht="24" customHeight="1" x14ac:dyDescent="0.25">
      <c r="A10" s="156" t="s">
        <v>24</v>
      </c>
      <c r="B10" s="156" t="s">
        <v>80</v>
      </c>
      <c r="C10" s="156" t="s">
        <v>114</v>
      </c>
      <c r="D10" s="157" t="s">
        <v>127</v>
      </c>
      <c r="E10" s="158" t="s">
        <v>128</v>
      </c>
      <c r="F10" s="159" t="s">
        <v>61</v>
      </c>
      <c r="G10" s="160" t="str">
        <f t="shared" ca="1" si="23"/>
        <v>In Progress</v>
      </c>
      <c r="H10" s="161">
        <v>2</v>
      </c>
      <c r="I10" s="162">
        <v>4</v>
      </c>
      <c r="J10" s="163">
        <v>0.3</v>
      </c>
      <c r="K10" s="163">
        <f t="shared" si="24"/>
        <v>3.7</v>
      </c>
      <c r="L10" s="164" t="s">
        <v>87</v>
      </c>
      <c r="M10" s="163">
        <v>0.2</v>
      </c>
      <c r="N10" s="163">
        <f t="shared" si="25"/>
        <v>3.5</v>
      </c>
      <c r="O10" s="164" t="s">
        <v>87</v>
      </c>
      <c r="P10" s="163">
        <v>0.1</v>
      </c>
      <c r="Q10" s="163">
        <f t="shared" si="26"/>
        <v>3.4</v>
      </c>
      <c r="R10" s="164" t="s">
        <v>87</v>
      </c>
      <c r="S10" s="163">
        <v>0.3</v>
      </c>
      <c r="T10" s="163">
        <f t="shared" si="27"/>
        <v>3.1</v>
      </c>
      <c r="U10" s="164" t="s">
        <v>87</v>
      </c>
      <c r="V10" s="163">
        <v>0.3</v>
      </c>
      <c r="W10" s="163">
        <f t="shared" si="28"/>
        <v>2.8000000000000003</v>
      </c>
      <c r="X10" s="164" t="s">
        <v>87</v>
      </c>
      <c r="Y10" s="163">
        <v>0.3</v>
      </c>
      <c r="Z10" s="163">
        <f t="shared" si="29"/>
        <v>2.5000000000000004</v>
      </c>
      <c r="AA10" s="164" t="s">
        <v>87</v>
      </c>
      <c r="AB10" s="163">
        <v>0.3</v>
      </c>
      <c r="AC10" s="163">
        <f t="shared" si="30"/>
        <v>2.2000000000000006</v>
      </c>
      <c r="AD10" s="164" t="s">
        <v>87</v>
      </c>
      <c r="AE10" s="163">
        <v>0.5</v>
      </c>
      <c r="AF10" s="163">
        <f t="shared" si="31"/>
        <v>1.7000000000000006</v>
      </c>
      <c r="AG10" s="164" t="s">
        <v>87</v>
      </c>
      <c r="AH10" s="163">
        <v>0.5</v>
      </c>
      <c r="AI10" s="163">
        <f t="shared" si="32"/>
        <v>1.2000000000000006</v>
      </c>
      <c r="AJ10" s="164" t="s">
        <v>87</v>
      </c>
      <c r="AK10" s="163">
        <v>0.6</v>
      </c>
      <c r="AL10" s="163">
        <f t="shared" si="33"/>
        <v>0.60000000000000064</v>
      </c>
      <c r="AM10" s="164" t="s">
        <v>87</v>
      </c>
      <c r="AN10" s="163">
        <v>0.4</v>
      </c>
      <c r="AO10" s="163">
        <f t="shared" si="34"/>
        <v>0.20000000000000062</v>
      </c>
      <c r="AP10" s="164" t="s">
        <v>87</v>
      </c>
      <c r="AQ10" s="163">
        <v>0.2</v>
      </c>
      <c r="AR10" s="163">
        <f t="shared" si="35"/>
        <v>6.106226635438361E-16</v>
      </c>
      <c r="AS10" s="164" t="s">
        <v>86</v>
      </c>
      <c r="AT10" s="19"/>
      <c r="AU10" s="19">
        <f t="shared" si="36"/>
        <v>6.106226635438361E-16</v>
      </c>
      <c r="AV10" s="20"/>
      <c r="AW10" s="19"/>
      <c r="AX10" s="19">
        <f t="shared" si="37"/>
        <v>6.106226635438361E-16</v>
      </c>
      <c r="AY10" s="20"/>
      <c r="AZ10" s="19"/>
      <c r="BA10" s="19">
        <f t="shared" si="38"/>
        <v>6.106226635438361E-16</v>
      </c>
      <c r="BB10" s="20"/>
      <c r="BC10" s="19"/>
      <c r="BD10" s="19">
        <f t="shared" si="39"/>
        <v>6.106226635438361E-16</v>
      </c>
      <c r="BE10" s="20"/>
      <c r="BF10" s="19"/>
      <c r="BG10" s="19">
        <f t="shared" si="40"/>
        <v>6.106226635438361E-16</v>
      </c>
      <c r="BH10" s="20"/>
      <c r="BI10" s="19"/>
      <c r="BJ10" s="19">
        <f t="shared" si="41"/>
        <v>6.106226635438361E-16</v>
      </c>
      <c r="BK10" s="20"/>
      <c r="BL10" s="19"/>
      <c r="BM10" s="19">
        <f t="shared" si="42"/>
        <v>6.106226635438361E-16</v>
      </c>
      <c r="BN10" s="20"/>
      <c r="BO10" s="19"/>
      <c r="BP10" s="19">
        <f t="shared" si="43"/>
        <v>6.106226635438361E-16</v>
      </c>
      <c r="BQ10" s="20"/>
      <c r="BR10" s="19"/>
      <c r="BS10" s="19">
        <f t="shared" si="44"/>
        <v>6.106226635438361E-16</v>
      </c>
      <c r="BT10" s="20"/>
      <c r="BU10" s="19"/>
      <c r="BV10" s="19">
        <f t="shared" si="45"/>
        <v>6.106226635438361E-16</v>
      </c>
      <c r="BW10" s="20"/>
      <c r="BX10" s="19"/>
      <c r="BY10" s="19">
        <f t="shared" si="46"/>
        <v>6.106226635438361E-16</v>
      </c>
      <c r="BZ10" s="20"/>
      <c r="CA10" s="19"/>
      <c r="CB10" s="19">
        <f t="shared" si="47"/>
        <v>6.106226635438361E-16</v>
      </c>
      <c r="CC10" s="20"/>
      <c r="CD10" s="21"/>
      <c r="CE10" s="22"/>
    </row>
    <row r="11" spans="1:83" ht="24" customHeight="1" x14ac:dyDescent="0.25">
      <c r="A11" s="156" t="s">
        <v>25</v>
      </c>
      <c r="B11" s="156" t="s">
        <v>81</v>
      </c>
      <c r="C11" s="156" t="s">
        <v>129</v>
      </c>
      <c r="D11" s="157" t="s">
        <v>130</v>
      </c>
      <c r="E11" s="158" t="s">
        <v>131</v>
      </c>
      <c r="F11" s="159" t="s">
        <v>58</v>
      </c>
      <c r="G11" s="160" t="str">
        <f t="shared" ca="1" si="23"/>
        <v>In Progress</v>
      </c>
      <c r="H11" s="161">
        <v>2</v>
      </c>
      <c r="I11" s="162">
        <v>5</v>
      </c>
      <c r="J11" s="163">
        <v>0.4</v>
      </c>
      <c r="K11" s="163">
        <v>4.5999999999999996</v>
      </c>
      <c r="L11" s="164" t="s">
        <v>87</v>
      </c>
      <c r="M11" s="163">
        <v>0.2</v>
      </c>
      <c r="N11" s="163">
        <v>4.4000000000000004</v>
      </c>
      <c r="O11" s="164" t="s">
        <v>87</v>
      </c>
      <c r="P11" s="163">
        <v>0.2</v>
      </c>
      <c r="Q11" s="163">
        <f t="shared" si="26"/>
        <v>4.2</v>
      </c>
      <c r="R11" s="164" t="s">
        <v>87</v>
      </c>
      <c r="S11" s="163">
        <v>0.3</v>
      </c>
      <c r="T11" s="163">
        <f t="shared" si="27"/>
        <v>3.9000000000000004</v>
      </c>
      <c r="U11" s="164" t="s">
        <v>87</v>
      </c>
      <c r="V11" s="163">
        <v>0.4</v>
      </c>
      <c r="W11" s="163">
        <f t="shared" si="28"/>
        <v>3.5000000000000004</v>
      </c>
      <c r="X11" s="164" t="s">
        <v>87</v>
      </c>
      <c r="Y11" s="163">
        <v>0.4</v>
      </c>
      <c r="Z11" s="163">
        <f t="shared" si="29"/>
        <v>3.1000000000000005</v>
      </c>
      <c r="AA11" s="164" t="s">
        <v>87</v>
      </c>
      <c r="AB11" s="163">
        <v>0.4</v>
      </c>
      <c r="AC11" s="163">
        <f t="shared" si="30"/>
        <v>2.7000000000000006</v>
      </c>
      <c r="AD11" s="164" t="s">
        <v>87</v>
      </c>
      <c r="AE11" s="163">
        <v>0.6</v>
      </c>
      <c r="AF11" s="163">
        <f t="shared" si="31"/>
        <v>2.1000000000000005</v>
      </c>
      <c r="AG11" s="164" t="s">
        <v>87</v>
      </c>
      <c r="AH11" s="163">
        <v>0.6</v>
      </c>
      <c r="AI11" s="163">
        <f t="shared" si="32"/>
        <v>1.5000000000000004</v>
      </c>
      <c r="AJ11" s="164" t="s">
        <v>87</v>
      </c>
      <c r="AK11" s="163">
        <v>0.7</v>
      </c>
      <c r="AL11" s="163">
        <f t="shared" si="33"/>
        <v>0.80000000000000049</v>
      </c>
      <c r="AM11" s="164" t="s">
        <v>87</v>
      </c>
      <c r="AN11" s="163">
        <v>0.5</v>
      </c>
      <c r="AO11" s="163">
        <f t="shared" si="34"/>
        <v>0.30000000000000049</v>
      </c>
      <c r="AP11" s="164" t="s">
        <v>87</v>
      </c>
      <c r="AQ11" s="163">
        <v>0.3</v>
      </c>
      <c r="AR11" s="163">
        <f t="shared" si="35"/>
        <v>4.9960036108132044E-16</v>
      </c>
      <c r="AS11" s="164" t="s">
        <v>86</v>
      </c>
      <c r="AT11" s="19"/>
      <c r="AU11" s="19">
        <f t="shared" si="36"/>
        <v>4.9960036108132044E-16</v>
      </c>
      <c r="AV11" s="20"/>
      <c r="AW11" s="19"/>
      <c r="AX11" s="19">
        <f t="shared" si="37"/>
        <v>4.9960036108132044E-16</v>
      </c>
      <c r="AY11" s="20"/>
      <c r="AZ11" s="19"/>
      <c r="BA11" s="19">
        <f t="shared" si="38"/>
        <v>4.9960036108132044E-16</v>
      </c>
      <c r="BB11" s="20"/>
      <c r="BC11" s="19"/>
      <c r="BD11" s="19">
        <f t="shared" si="39"/>
        <v>4.9960036108132044E-16</v>
      </c>
      <c r="BE11" s="20"/>
      <c r="BF11" s="19"/>
      <c r="BG11" s="19">
        <f t="shared" si="40"/>
        <v>4.9960036108132044E-16</v>
      </c>
      <c r="BH11" s="20"/>
      <c r="BI11" s="19"/>
      <c r="BJ11" s="19">
        <f t="shared" si="41"/>
        <v>4.9960036108132044E-16</v>
      </c>
      <c r="BK11" s="20"/>
      <c r="BL11" s="19"/>
      <c r="BM11" s="19">
        <f t="shared" si="42"/>
        <v>4.9960036108132044E-16</v>
      </c>
      <c r="BN11" s="20"/>
      <c r="BO11" s="19"/>
      <c r="BP11" s="19">
        <f t="shared" si="43"/>
        <v>4.9960036108132044E-16</v>
      </c>
      <c r="BQ11" s="20"/>
      <c r="BR11" s="19"/>
      <c r="BS11" s="19">
        <f t="shared" si="44"/>
        <v>4.9960036108132044E-16</v>
      </c>
      <c r="BT11" s="20"/>
      <c r="BU11" s="19"/>
      <c r="BV11" s="19">
        <f t="shared" si="45"/>
        <v>4.9960036108132044E-16</v>
      </c>
      <c r="BW11" s="20"/>
      <c r="BX11" s="19"/>
      <c r="BY11" s="19">
        <f t="shared" si="46"/>
        <v>4.9960036108132044E-16</v>
      </c>
      <c r="BZ11" s="20"/>
      <c r="CA11" s="19"/>
      <c r="CB11" s="19">
        <f t="shared" si="47"/>
        <v>4.9960036108132044E-16</v>
      </c>
      <c r="CC11" s="20"/>
      <c r="CD11" s="21"/>
      <c r="CE11" s="22"/>
    </row>
    <row r="12" spans="1:83" ht="24" customHeight="1" x14ac:dyDescent="0.25">
      <c r="A12" s="156" t="s">
        <v>27</v>
      </c>
      <c r="B12" s="156" t="s">
        <v>78</v>
      </c>
      <c r="C12" s="165" t="s">
        <v>114</v>
      </c>
      <c r="D12" s="157" t="s">
        <v>132</v>
      </c>
      <c r="E12" s="158" t="s">
        <v>133</v>
      </c>
      <c r="F12" s="159" t="s">
        <v>53</v>
      </c>
      <c r="G12" s="160" t="str">
        <f t="shared" ca="1" si="23"/>
        <v>In Progress</v>
      </c>
      <c r="H12" s="161">
        <v>2</v>
      </c>
      <c r="I12" s="162">
        <v>4</v>
      </c>
      <c r="J12" s="163">
        <v>0.3</v>
      </c>
      <c r="K12" s="163">
        <f t="shared" si="24"/>
        <v>3.7</v>
      </c>
      <c r="L12" s="164" t="s">
        <v>87</v>
      </c>
      <c r="M12" s="163">
        <v>0.2</v>
      </c>
      <c r="N12" s="163">
        <f t="shared" si="25"/>
        <v>3.5</v>
      </c>
      <c r="O12" s="164" t="s">
        <v>87</v>
      </c>
      <c r="P12" s="163">
        <v>0.1</v>
      </c>
      <c r="Q12" s="163">
        <f t="shared" si="26"/>
        <v>3.4</v>
      </c>
      <c r="R12" s="164" t="s">
        <v>87</v>
      </c>
      <c r="S12" s="163">
        <v>0.3</v>
      </c>
      <c r="T12" s="163">
        <f t="shared" si="27"/>
        <v>3.1</v>
      </c>
      <c r="U12" s="164" t="s">
        <v>87</v>
      </c>
      <c r="V12" s="163">
        <v>0.3</v>
      </c>
      <c r="W12" s="163">
        <f t="shared" si="28"/>
        <v>2.8000000000000003</v>
      </c>
      <c r="X12" s="164" t="s">
        <v>87</v>
      </c>
      <c r="Y12" s="163">
        <v>0.3</v>
      </c>
      <c r="Z12" s="163">
        <f t="shared" si="29"/>
        <v>2.5000000000000004</v>
      </c>
      <c r="AA12" s="164" t="s">
        <v>87</v>
      </c>
      <c r="AB12" s="163">
        <v>0.3</v>
      </c>
      <c r="AC12" s="163">
        <f t="shared" si="30"/>
        <v>2.2000000000000006</v>
      </c>
      <c r="AD12" s="164" t="s">
        <v>87</v>
      </c>
      <c r="AE12" s="163">
        <v>0.5</v>
      </c>
      <c r="AF12" s="163">
        <f t="shared" si="31"/>
        <v>1.7000000000000006</v>
      </c>
      <c r="AG12" s="164" t="s">
        <v>87</v>
      </c>
      <c r="AH12" s="163">
        <v>0.5</v>
      </c>
      <c r="AI12" s="163">
        <f t="shared" si="32"/>
        <v>1.2000000000000006</v>
      </c>
      <c r="AJ12" s="164" t="s">
        <v>87</v>
      </c>
      <c r="AK12" s="163">
        <v>0.6</v>
      </c>
      <c r="AL12" s="163">
        <f t="shared" si="33"/>
        <v>0.60000000000000064</v>
      </c>
      <c r="AM12" s="164" t="s">
        <v>87</v>
      </c>
      <c r="AN12" s="163">
        <v>0.4</v>
      </c>
      <c r="AO12" s="163">
        <f t="shared" si="34"/>
        <v>0.20000000000000062</v>
      </c>
      <c r="AP12" s="164" t="s">
        <v>87</v>
      </c>
      <c r="AQ12" s="163">
        <v>0.2</v>
      </c>
      <c r="AR12" s="163">
        <f t="shared" si="35"/>
        <v>6.106226635438361E-16</v>
      </c>
      <c r="AS12" s="164" t="s">
        <v>86</v>
      </c>
      <c r="AT12" s="19"/>
      <c r="AU12" s="19">
        <f t="shared" si="36"/>
        <v>6.106226635438361E-16</v>
      </c>
      <c r="AV12" s="20"/>
      <c r="AW12" s="19"/>
      <c r="AX12" s="19">
        <f t="shared" si="37"/>
        <v>6.106226635438361E-16</v>
      </c>
      <c r="AY12" s="20"/>
      <c r="AZ12" s="19"/>
      <c r="BA12" s="19">
        <f t="shared" si="38"/>
        <v>6.106226635438361E-16</v>
      </c>
      <c r="BB12" s="20"/>
      <c r="BC12" s="19"/>
      <c r="BD12" s="19">
        <f t="shared" si="39"/>
        <v>6.106226635438361E-16</v>
      </c>
      <c r="BE12" s="20"/>
      <c r="BF12" s="19"/>
      <c r="BG12" s="19">
        <f t="shared" si="40"/>
        <v>6.106226635438361E-16</v>
      </c>
      <c r="BH12" s="20"/>
      <c r="BI12" s="19"/>
      <c r="BJ12" s="19">
        <f t="shared" si="41"/>
        <v>6.106226635438361E-16</v>
      </c>
      <c r="BK12" s="20"/>
      <c r="BL12" s="19"/>
      <c r="BM12" s="19">
        <f t="shared" si="42"/>
        <v>6.106226635438361E-16</v>
      </c>
      <c r="BN12" s="20"/>
      <c r="BO12" s="19"/>
      <c r="BP12" s="19">
        <f t="shared" si="43"/>
        <v>6.106226635438361E-16</v>
      </c>
      <c r="BQ12" s="20"/>
      <c r="BR12" s="19"/>
      <c r="BS12" s="19">
        <f t="shared" si="44"/>
        <v>6.106226635438361E-16</v>
      </c>
      <c r="BT12" s="20"/>
      <c r="BU12" s="19"/>
      <c r="BV12" s="19">
        <f t="shared" si="45"/>
        <v>6.106226635438361E-16</v>
      </c>
      <c r="BW12" s="20"/>
      <c r="BX12" s="19"/>
      <c r="BY12" s="19">
        <f t="shared" si="46"/>
        <v>6.106226635438361E-16</v>
      </c>
      <c r="BZ12" s="20"/>
      <c r="CA12" s="19"/>
      <c r="CB12" s="19">
        <f t="shared" si="47"/>
        <v>6.106226635438361E-16</v>
      </c>
      <c r="CC12" s="20"/>
      <c r="CD12" s="21"/>
      <c r="CE12" s="22"/>
    </row>
    <row r="13" spans="1:83" ht="24" customHeight="1" x14ac:dyDescent="0.25">
      <c r="A13" s="156" t="s">
        <v>24</v>
      </c>
      <c r="B13" s="156" t="s">
        <v>82</v>
      </c>
      <c r="C13" s="156" t="s">
        <v>134</v>
      </c>
      <c r="D13" s="157" t="s">
        <v>135</v>
      </c>
      <c r="E13" s="158" t="s">
        <v>136</v>
      </c>
      <c r="F13" s="159" t="s">
        <v>67</v>
      </c>
      <c r="G13" s="160" t="str">
        <f t="shared" ca="1" si="23"/>
        <v>In Progress</v>
      </c>
      <c r="H13" s="161">
        <v>1</v>
      </c>
      <c r="I13" s="162">
        <v>6</v>
      </c>
      <c r="J13" s="163">
        <v>0.5</v>
      </c>
      <c r="K13" s="163">
        <f t="shared" si="24"/>
        <v>5.5</v>
      </c>
      <c r="L13" s="164" t="s">
        <v>87</v>
      </c>
      <c r="M13" s="163">
        <v>0.2</v>
      </c>
      <c r="N13" s="163">
        <v>5.3</v>
      </c>
      <c r="O13" s="164" t="s">
        <v>87</v>
      </c>
      <c r="P13" s="163">
        <v>0.3</v>
      </c>
      <c r="Q13" s="163">
        <f t="shared" si="26"/>
        <v>5</v>
      </c>
      <c r="R13" s="164" t="s">
        <v>87</v>
      </c>
      <c r="S13" s="163">
        <v>0.3</v>
      </c>
      <c r="T13" s="163">
        <f t="shared" si="27"/>
        <v>4.7</v>
      </c>
      <c r="U13" s="164" t="s">
        <v>87</v>
      </c>
      <c r="V13" s="163">
        <v>0.5</v>
      </c>
      <c r="W13" s="163">
        <f t="shared" si="28"/>
        <v>4.2</v>
      </c>
      <c r="X13" s="164" t="s">
        <v>87</v>
      </c>
      <c r="Y13" s="163">
        <v>0.5</v>
      </c>
      <c r="Z13" s="163">
        <f t="shared" si="29"/>
        <v>3.7</v>
      </c>
      <c r="AA13" s="164" t="s">
        <v>87</v>
      </c>
      <c r="AB13" s="163">
        <v>0.5</v>
      </c>
      <c r="AC13" s="163">
        <f t="shared" si="30"/>
        <v>3.2</v>
      </c>
      <c r="AD13" s="164" t="s">
        <v>87</v>
      </c>
      <c r="AE13" s="163">
        <v>0.6</v>
      </c>
      <c r="AF13" s="163">
        <f t="shared" si="31"/>
        <v>2.6</v>
      </c>
      <c r="AG13" s="164" t="s">
        <v>87</v>
      </c>
      <c r="AH13" s="163">
        <v>0.8</v>
      </c>
      <c r="AI13" s="163">
        <f t="shared" si="32"/>
        <v>1.8</v>
      </c>
      <c r="AJ13" s="164" t="s">
        <v>87</v>
      </c>
      <c r="AK13" s="163">
        <v>0.8</v>
      </c>
      <c r="AL13" s="163">
        <f t="shared" si="33"/>
        <v>1</v>
      </c>
      <c r="AM13" s="164" t="s">
        <v>87</v>
      </c>
      <c r="AN13" s="163">
        <v>0.6</v>
      </c>
      <c r="AO13" s="163">
        <f t="shared" si="34"/>
        <v>0.4</v>
      </c>
      <c r="AP13" s="164" t="s">
        <v>87</v>
      </c>
      <c r="AQ13" s="163">
        <v>0.4</v>
      </c>
      <c r="AR13" s="163">
        <f t="shared" si="35"/>
        <v>0</v>
      </c>
      <c r="AS13" s="164" t="s">
        <v>86</v>
      </c>
      <c r="AT13" s="19"/>
      <c r="AU13" s="19">
        <f t="shared" si="36"/>
        <v>0</v>
      </c>
      <c r="AV13" s="20"/>
      <c r="AW13" s="19"/>
      <c r="AX13" s="19">
        <f t="shared" si="37"/>
        <v>0</v>
      </c>
      <c r="AY13" s="20"/>
      <c r="AZ13" s="19"/>
      <c r="BA13" s="19">
        <f t="shared" si="38"/>
        <v>0</v>
      </c>
      <c r="BB13" s="20"/>
      <c r="BC13" s="19"/>
      <c r="BD13" s="19">
        <f t="shared" si="39"/>
        <v>0</v>
      </c>
      <c r="BE13" s="20"/>
      <c r="BF13" s="19"/>
      <c r="BG13" s="19">
        <f t="shared" si="40"/>
        <v>0</v>
      </c>
      <c r="BH13" s="20"/>
      <c r="BI13" s="19"/>
      <c r="BJ13" s="19">
        <f t="shared" si="41"/>
        <v>0</v>
      </c>
      <c r="BK13" s="20"/>
      <c r="BL13" s="19"/>
      <c r="BM13" s="19">
        <f t="shared" si="42"/>
        <v>0</v>
      </c>
      <c r="BN13" s="20"/>
      <c r="BO13" s="19"/>
      <c r="BP13" s="19">
        <f t="shared" si="43"/>
        <v>0</v>
      </c>
      <c r="BQ13" s="20"/>
      <c r="BR13" s="19"/>
      <c r="BS13" s="19">
        <f t="shared" si="44"/>
        <v>0</v>
      </c>
      <c r="BT13" s="20"/>
      <c r="BU13" s="19"/>
      <c r="BV13" s="19">
        <f t="shared" si="45"/>
        <v>0</v>
      </c>
      <c r="BW13" s="20"/>
      <c r="BX13" s="19"/>
      <c r="BY13" s="19">
        <f t="shared" si="46"/>
        <v>0</v>
      </c>
      <c r="BZ13" s="20"/>
      <c r="CA13" s="19"/>
      <c r="CB13" s="19">
        <f t="shared" si="47"/>
        <v>0</v>
      </c>
      <c r="CC13" s="20"/>
      <c r="CD13" s="21"/>
      <c r="CE13" s="22"/>
    </row>
    <row r="14" spans="1:83" ht="24" customHeight="1" x14ac:dyDescent="0.25">
      <c r="A14" s="156" t="s">
        <v>24</v>
      </c>
      <c r="B14" s="156" t="s">
        <v>82</v>
      </c>
      <c r="C14" s="156" t="s">
        <v>134</v>
      </c>
      <c r="D14" s="157" t="s">
        <v>137</v>
      </c>
      <c r="E14" s="158" t="s">
        <v>138</v>
      </c>
      <c r="F14" s="159" t="s">
        <v>67</v>
      </c>
      <c r="G14" s="160" t="str">
        <f t="shared" ca="1" si="23"/>
        <v>In Progress</v>
      </c>
      <c r="H14" s="161">
        <v>1</v>
      </c>
      <c r="I14" s="162">
        <v>6</v>
      </c>
      <c r="J14" s="163">
        <v>0.5</v>
      </c>
      <c r="K14" s="163">
        <f t="shared" si="24"/>
        <v>5.5</v>
      </c>
      <c r="L14" s="164" t="s">
        <v>87</v>
      </c>
      <c r="M14" s="163">
        <v>0.2</v>
      </c>
      <c r="N14" s="163">
        <f t="shared" si="25"/>
        <v>5.3</v>
      </c>
      <c r="O14" s="164" t="s">
        <v>87</v>
      </c>
      <c r="P14" s="163">
        <v>0.3</v>
      </c>
      <c r="Q14" s="163">
        <f t="shared" si="26"/>
        <v>5</v>
      </c>
      <c r="R14" s="164" t="s">
        <v>87</v>
      </c>
      <c r="S14" s="163">
        <v>0.3</v>
      </c>
      <c r="T14" s="163">
        <f t="shared" si="27"/>
        <v>4.7</v>
      </c>
      <c r="U14" s="164" t="s">
        <v>87</v>
      </c>
      <c r="V14" s="163">
        <v>0.5</v>
      </c>
      <c r="W14" s="163">
        <f t="shared" si="28"/>
        <v>4.2</v>
      </c>
      <c r="X14" s="164" t="s">
        <v>87</v>
      </c>
      <c r="Y14" s="163">
        <v>0.5</v>
      </c>
      <c r="Z14" s="163">
        <f t="shared" si="29"/>
        <v>3.7</v>
      </c>
      <c r="AA14" s="164" t="s">
        <v>87</v>
      </c>
      <c r="AB14" s="163">
        <v>0.5</v>
      </c>
      <c r="AC14" s="163">
        <f t="shared" si="30"/>
        <v>3.2</v>
      </c>
      <c r="AD14" s="164" t="s">
        <v>87</v>
      </c>
      <c r="AE14" s="163">
        <v>0.6</v>
      </c>
      <c r="AF14" s="163">
        <f t="shared" si="31"/>
        <v>2.6</v>
      </c>
      <c r="AG14" s="164" t="s">
        <v>87</v>
      </c>
      <c r="AH14" s="163">
        <v>0.8</v>
      </c>
      <c r="AI14" s="163">
        <f t="shared" si="32"/>
        <v>1.8</v>
      </c>
      <c r="AJ14" s="164" t="s">
        <v>87</v>
      </c>
      <c r="AK14" s="163">
        <v>0.8</v>
      </c>
      <c r="AL14" s="163">
        <f t="shared" si="33"/>
        <v>1</v>
      </c>
      <c r="AM14" s="164" t="s">
        <v>87</v>
      </c>
      <c r="AN14" s="163">
        <v>0.6</v>
      </c>
      <c r="AO14" s="163">
        <f t="shared" si="34"/>
        <v>0.4</v>
      </c>
      <c r="AP14" s="164" t="s">
        <v>87</v>
      </c>
      <c r="AQ14" s="163">
        <v>0.4</v>
      </c>
      <c r="AR14" s="163">
        <f t="shared" si="35"/>
        <v>0</v>
      </c>
      <c r="AS14" s="164" t="s">
        <v>86</v>
      </c>
      <c r="AT14" s="19"/>
      <c r="AU14" s="19">
        <f t="shared" si="36"/>
        <v>0</v>
      </c>
      <c r="AV14" s="20"/>
      <c r="AW14" s="19"/>
      <c r="AX14" s="19">
        <f t="shared" si="37"/>
        <v>0</v>
      </c>
      <c r="AY14" s="20"/>
      <c r="AZ14" s="19"/>
      <c r="BA14" s="19">
        <f t="shared" si="38"/>
        <v>0</v>
      </c>
      <c r="BB14" s="20"/>
      <c r="BC14" s="19"/>
      <c r="BD14" s="19">
        <f t="shared" si="39"/>
        <v>0</v>
      </c>
      <c r="BE14" s="20"/>
      <c r="BF14" s="19"/>
      <c r="BG14" s="19">
        <f t="shared" si="40"/>
        <v>0</v>
      </c>
      <c r="BH14" s="20"/>
      <c r="BI14" s="19"/>
      <c r="BJ14" s="19">
        <f t="shared" si="41"/>
        <v>0</v>
      </c>
      <c r="BK14" s="20"/>
      <c r="BL14" s="19"/>
      <c r="BM14" s="19">
        <f t="shared" si="42"/>
        <v>0</v>
      </c>
      <c r="BN14" s="20"/>
      <c r="BO14" s="19"/>
      <c r="BP14" s="19">
        <f t="shared" si="43"/>
        <v>0</v>
      </c>
      <c r="BQ14" s="20"/>
      <c r="BR14" s="19"/>
      <c r="BS14" s="19">
        <f t="shared" si="44"/>
        <v>0</v>
      </c>
      <c r="BT14" s="20"/>
      <c r="BU14" s="19"/>
      <c r="BV14" s="19">
        <f t="shared" si="45"/>
        <v>0</v>
      </c>
      <c r="BW14" s="20"/>
      <c r="BX14" s="19"/>
      <c r="BY14" s="19">
        <f t="shared" si="46"/>
        <v>0</v>
      </c>
      <c r="BZ14" s="20"/>
      <c r="CA14" s="19"/>
      <c r="CB14" s="19">
        <f t="shared" si="47"/>
        <v>0</v>
      </c>
      <c r="CC14" s="20"/>
      <c r="CD14" s="21"/>
      <c r="CE14" s="22"/>
    </row>
    <row r="15" spans="1:83" ht="24" customHeight="1" x14ac:dyDescent="0.25">
      <c r="A15" s="156" t="s">
        <v>25</v>
      </c>
      <c r="B15" s="156" t="s">
        <v>81</v>
      </c>
      <c r="C15" s="156" t="s">
        <v>129</v>
      </c>
      <c r="D15" s="157" t="s">
        <v>139</v>
      </c>
      <c r="E15" s="158" t="s">
        <v>140</v>
      </c>
      <c r="F15" s="159" t="s">
        <v>70</v>
      </c>
      <c r="G15" s="160" t="str">
        <f t="shared" ca="1" si="23"/>
        <v>In Progress</v>
      </c>
      <c r="H15" s="161">
        <v>1</v>
      </c>
      <c r="I15" s="162">
        <v>4</v>
      </c>
      <c r="J15" s="163">
        <v>0.3</v>
      </c>
      <c r="K15" s="163">
        <f t="shared" si="24"/>
        <v>3.7</v>
      </c>
      <c r="L15" s="164" t="s">
        <v>87</v>
      </c>
      <c r="M15" s="163">
        <v>0.2</v>
      </c>
      <c r="N15" s="163">
        <f t="shared" si="25"/>
        <v>3.5</v>
      </c>
      <c r="O15" s="164" t="s">
        <v>87</v>
      </c>
      <c r="P15" s="163">
        <v>0.1</v>
      </c>
      <c r="Q15" s="163">
        <f t="shared" si="26"/>
        <v>3.4</v>
      </c>
      <c r="R15" s="164" t="s">
        <v>87</v>
      </c>
      <c r="S15" s="163">
        <v>0.3</v>
      </c>
      <c r="T15" s="163">
        <f t="shared" si="27"/>
        <v>3.1</v>
      </c>
      <c r="U15" s="164" t="s">
        <v>87</v>
      </c>
      <c r="V15" s="163">
        <v>0.3</v>
      </c>
      <c r="W15" s="163">
        <f t="shared" si="28"/>
        <v>2.8000000000000003</v>
      </c>
      <c r="X15" s="164" t="s">
        <v>87</v>
      </c>
      <c r="Y15" s="163">
        <v>0.3</v>
      </c>
      <c r="Z15" s="163">
        <f t="shared" si="29"/>
        <v>2.5000000000000004</v>
      </c>
      <c r="AA15" s="164" t="s">
        <v>87</v>
      </c>
      <c r="AB15" s="163">
        <v>0.3</v>
      </c>
      <c r="AC15" s="163">
        <f t="shared" si="30"/>
        <v>2.2000000000000006</v>
      </c>
      <c r="AD15" s="164" t="s">
        <v>87</v>
      </c>
      <c r="AE15" s="163">
        <v>0.5</v>
      </c>
      <c r="AF15" s="163">
        <f t="shared" si="31"/>
        <v>1.7000000000000006</v>
      </c>
      <c r="AG15" s="164" t="s">
        <v>87</v>
      </c>
      <c r="AH15" s="163">
        <v>0.5</v>
      </c>
      <c r="AI15" s="163">
        <f t="shared" si="32"/>
        <v>1.2000000000000006</v>
      </c>
      <c r="AJ15" s="164" t="s">
        <v>87</v>
      </c>
      <c r="AK15" s="163">
        <v>0.6</v>
      </c>
      <c r="AL15" s="163">
        <f t="shared" si="33"/>
        <v>0.60000000000000064</v>
      </c>
      <c r="AM15" s="164" t="s">
        <v>87</v>
      </c>
      <c r="AN15" s="163">
        <v>0.4</v>
      </c>
      <c r="AO15" s="163">
        <f t="shared" si="34"/>
        <v>0.20000000000000062</v>
      </c>
      <c r="AP15" s="164" t="s">
        <v>87</v>
      </c>
      <c r="AQ15" s="163">
        <v>0.2</v>
      </c>
      <c r="AR15" s="163">
        <f t="shared" si="35"/>
        <v>6.106226635438361E-16</v>
      </c>
      <c r="AS15" s="164" t="s">
        <v>86</v>
      </c>
      <c r="AT15" s="19"/>
      <c r="AU15" s="19">
        <f t="shared" si="36"/>
        <v>6.106226635438361E-16</v>
      </c>
      <c r="AV15" s="20"/>
      <c r="AW15" s="19"/>
      <c r="AX15" s="19">
        <f t="shared" si="37"/>
        <v>6.106226635438361E-16</v>
      </c>
      <c r="AY15" s="20"/>
      <c r="AZ15" s="19"/>
      <c r="BA15" s="19">
        <f t="shared" si="38"/>
        <v>6.106226635438361E-16</v>
      </c>
      <c r="BB15" s="20"/>
      <c r="BC15" s="19"/>
      <c r="BD15" s="19">
        <f t="shared" si="39"/>
        <v>6.106226635438361E-16</v>
      </c>
      <c r="BE15" s="20"/>
      <c r="BF15" s="19"/>
      <c r="BG15" s="19">
        <f t="shared" si="40"/>
        <v>6.106226635438361E-16</v>
      </c>
      <c r="BH15" s="20"/>
      <c r="BI15" s="19"/>
      <c r="BJ15" s="19">
        <f t="shared" si="41"/>
        <v>6.106226635438361E-16</v>
      </c>
      <c r="BK15" s="20"/>
      <c r="BL15" s="19"/>
      <c r="BM15" s="19">
        <f t="shared" si="42"/>
        <v>6.106226635438361E-16</v>
      </c>
      <c r="BN15" s="20"/>
      <c r="BO15" s="19"/>
      <c r="BP15" s="19">
        <f t="shared" si="43"/>
        <v>6.106226635438361E-16</v>
      </c>
      <c r="BQ15" s="20"/>
      <c r="BR15" s="19"/>
      <c r="BS15" s="19">
        <f t="shared" si="44"/>
        <v>6.106226635438361E-16</v>
      </c>
      <c r="BT15" s="20"/>
      <c r="BU15" s="19"/>
      <c r="BV15" s="19">
        <f t="shared" si="45"/>
        <v>6.106226635438361E-16</v>
      </c>
      <c r="BW15" s="20"/>
      <c r="BX15" s="19"/>
      <c r="BY15" s="19">
        <f t="shared" si="46"/>
        <v>6.106226635438361E-16</v>
      </c>
      <c r="BZ15" s="20"/>
      <c r="CA15" s="19"/>
      <c r="CB15" s="19">
        <f t="shared" si="47"/>
        <v>6.106226635438361E-16</v>
      </c>
      <c r="CC15" s="20"/>
      <c r="CD15" s="21"/>
      <c r="CE15" s="22"/>
    </row>
    <row r="16" spans="1:83" ht="10.199999999999999" customHeight="1" x14ac:dyDescent="0.25">
      <c r="A16" s="13"/>
      <c r="B16" s="13"/>
      <c r="C16" s="13"/>
      <c r="D16" s="14"/>
      <c r="E16" s="135"/>
      <c r="F16" s="15"/>
      <c r="G16" s="16">
        <f t="shared" ca="1" si="23"/>
        <v>0</v>
      </c>
      <c r="H16" s="17"/>
      <c r="I16" s="18"/>
      <c r="J16" s="19"/>
      <c r="K16" s="19">
        <f t="shared" si="24"/>
        <v>0</v>
      </c>
      <c r="L16" s="20"/>
      <c r="M16" s="19"/>
      <c r="N16" s="19">
        <f t="shared" si="25"/>
        <v>0</v>
      </c>
      <c r="O16" s="20"/>
      <c r="P16" s="19"/>
      <c r="Q16" s="19">
        <f t="shared" si="26"/>
        <v>0</v>
      </c>
      <c r="R16" s="20"/>
      <c r="S16" s="19"/>
      <c r="T16" s="19">
        <f t="shared" si="27"/>
        <v>0</v>
      </c>
      <c r="U16" s="20"/>
      <c r="V16" s="19"/>
      <c r="W16" s="19">
        <f t="shared" si="28"/>
        <v>0</v>
      </c>
      <c r="X16" s="20"/>
      <c r="Y16" s="19"/>
      <c r="Z16" s="19">
        <f t="shared" si="29"/>
        <v>0</v>
      </c>
      <c r="AA16" s="20"/>
      <c r="AB16" s="19"/>
      <c r="AC16" s="19">
        <f t="shared" si="30"/>
        <v>0</v>
      </c>
      <c r="AD16" s="20"/>
      <c r="AE16" s="19"/>
      <c r="AF16" s="19">
        <f t="shared" si="31"/>
        <v>0</v>
      </c>
      <c r="AG16" s="20"/>
      <c r="AH16" s="19"/>
      <c r="AI16" s="19">
        <f t="shared" si="32"/>
        <v>0</v>
      </c>
      <c r="AJ16" s="20"/>
      <c r="AK16" s="19"/>
      <c r="AL16" s="19">
        <f t="shared" si="33"/>
        <v>0</v>
      </c>
      <c r="AM16" s="20"/>
      <c r="AN16" s="19"/>
      <c r="AO16" s="19">
        <f t="shared" si="34"/>
        <v>0</v>
      </c>
      <c r="AP16" s="20"/>
      <c r="AQ16" s="19"/>
      <c r="AR16" s="19">
        <f t="shared" si="35"/>
        <v>0</v>
      </c>
      <c r="AS16" s="20"/>
      <c r="AT16" s="19"/>
      <c r="AU16" s="19">
        <f t="shared" si="36"/>
        <v>0</v>
      </c>
      <c r="AV16" s="20"/>
      <c r="AW16" s="19"/>
      <c r="AX16" s="19">
        <f t="shared" si="37"/>
        <v>0</v>
      </c>
      <c r="AY16" s="20"/>
      <c r="AZ16" s="19"/>
      <c r="BA16" s="19">
        <f t="shared" si="38"/>
        <v>0</v>
      </c>
      <c r="BB16" s="20"/>
      <c r="BC16" s="19"/>
      <c r="BD16" s="19">
        <f t="shared" si="39"/>
        <v>0</v>
      </c>
      <c r="BE16" s="20"/>
      <c r="BF16" s="19"/>
      <c r="BG16" s="19">
        <f t="shared" si="40"/>
        <v>0</v>
      </c>
      <c r="BH16" s="20"/>
      <c r="BI16" s="19"/>
      <c r="BJ16" s="19">
        <f t="shared" si="41"/>
        <v>0</v>
      </c>
      <c r="BK16" s="20"/>
      <c r="BL16" s="19"/>
      <c r="BM16" s="19">
        <f t="shared" si="42"/>
        <v>0</v>
      </c>
      <c r="BN16" s="20"/>
      <c r="BO16" s="19"/>
      <c r="BP16" s="19">
        <f t="shared" si="43"/>
        <v>0</v>
      </c>
      <c r="BQ16" s="20"/>
      <c r="BR16" s="19"/>
      <c r="BS16" s="19">
        <f t="shared" si="44"/>
        <v>0</v>
      </c>
      <c r="BT16" s="20"/>
      <c r="BU16" s="19"/>
      <c r="BV16" s="19">
        <f t="shared" si="45"/>
        <v>0</v>
      </c>
      <c r="BW16" s="20"/>
      <c r="BX16" s="19"/>
      <c r="BY16" s="19">
        <f t="shared" si="46"/>
        <v>0</v>
      </c>
      <c r="BZ16" s="20"/>
      <c r="CA16" s="19"/>
      <c r="CB16" s="19">
        <f t="shared" si="47"/>
        <v>0</v>
      </c>
      <c r="CC16" s="20"/>
      <c r="CD16" s="21"/>
      <c r="CE16" s="22"/>
    </row>
    <row r="17" spans="1:83" ht="10.199999999999999" customHeight="1" x14ac:dyDescent="0.25">
      <c r="A17" s="13"/>
      <c r="B17" s="13"/>
      <c r="C17" s="13"/>
      <c r="D17" s="14"/>
      <c r="E17" s="135"/>
      <c r="F17" s="15"/>
      <c r="G17" s="16">
        <f t="shared" ca="1" si="23"/>
        <v>0</v>
      </c>
      <c r="H17" s="17"/>
      <c r="I17" s="18"/>
      <c r="J17" s="19"/>
      <c r="K17" s="19">
        <f t="shared" ref="K17" si="72">MAX(I17-J17, 0)</f>
        <v>0</v>
      </c>
      <c r="L17" s="20"/>
      <c r="M17" s="19"/>
      <c r="N17" s="19">
        <f t="shared" ref="N17" si="73">MAX(K17-M17,0)</f>
        <v>0</v>
      </c>
      <c r="O17" s="20"/>
      <c r="P17" s="19"/>
      <c r="Q17" s="19">
        <f t="shared" ref="Q17" si="74">MAX(N17-P17,0)</f>
        <v>0</v>
      </c>
      <c r="R17" s="20"/>
      <c r="S17" s="19"/>
      <c r="T17" s="19">
        <f t="shared" ref="T17" si="75">MAX(Q17-S17,0)</f>
        <v>0</v>
      </c>
      <c r="U17" s="20"/>
      <c r="V17" s="19"/>
      <c r="W17" s="19">
        <f t="shared" ref="W17" si="76">MAX(T17-V17,0)</f>
        <v>0</v>
      </c>
      <c r="X17" s="20"/>
      <c r="Y17" s="19"/>
      <c r="Z17" s="19">
        <f t="shared" ref="Z17" si="77">MAX(W17-Y17,0)</f>
        <v>0</v>
      </c>
      <c r="AA17" s="20"/>
      <c r="AB17" s="19"/>
      <c r="AC17" s="19">
        <f t="shared" ref="AC17" si="78">MAX(Z17-AB17,0)</f>
        <v>0</v>
      </c>
      <c r="AD17" s="20"/>
      <c r="AE17" s="19"/>
      <c r="AF17" s="19">
        <f t="shared" ref="AF17" si="79">MAX(AC17-AE17,0)</f>
        <v>0</v>
      </c>
      <c r="AG17" s="20"/>
      <c r="AH17" s="19"/>
      <c r="AI17" s="19">
        <f t="shared" ref="AI17" si="80">MAX(AF17-AH17,0)</f>
        <v>0</v>
      </c>
      <c r="AJ17" s="20"/>
      <c r="AK17" s="19"/>
      <c r="AL17" s="19">
        <f t="shared" ref="AL17" si="81">MAX(AI17-AK17,0)</f>
        <v>0</v>
      </c>
      <c r="AM17" s="20"/>
      <c r="AN17" s="19"/>
      <c r="AO17" s="19">
        <f t="shared" ref="AO17" si="82">MAX(AL17-AN17,0)</f>
        <v>0</v>
      </c>
      <c r="AP17" s="20"/>
      <c r="AQ17" s="19"/>
      <c r="AR17" s="19">
        <f t="shared" ref="AR17" si="83">MAX(AO17-AQ17,0)</f>
        <v>0</v>
      </c>
      <c r="AS17" s="20"/>
      <c r="AT17" s="19"/>
      <c r="AU17" s="19">
        <f t="shared" ref="AU17" si="84">MAX(AR17-AT17,0)</f>
        <v>0</v>
      </c>
      <c r="AV17" s="20"/>
      <c r="AW17" s="19"/>
      <c r="AX17" s="19">
        <f t="shared" ref="AX17" si="85">MAX(AU17-AW17,0)</f>
        <v>0</v>
      </c>
      <c r="AY17" s="20"/>
      <c r="AZ17" s="19"/>
      <c r="BA17" s="19">
        <f t="shared" ref="BA17" si="86">MAX(AX17-AZ17,0)</f>
        <v>0</v>
      </c>
      <c r="BB17" s="20"/>
      <c r="BC17" s="19"/>
      <c r="BD17" s="19">
        <f t="shared" ref="BD17" si="87">MAX(BA17-BC17,0)</f>
        <v>0</v>
      </c>
      <c r="BE17" s="20"/>
      <c r="BF17" s="19"/>
      <c r="BG17" s="19">
        <f t="shared" ref="BG17" si="88">MAX(BD17-BF17,0)</f>
        <v>0</v>
      </c>
      <c r="BH17" s="20"/>
      <c r="BI17" s="19"/>
      <c r="BJ17" s="19">
        <f t="shared" ref="BJ17" si="89">MAX(BG17-BI17,0)</f>
        <v>0</v>
      </c>
      <c r="BK17" s="20"/>
      <c r="BL17" s="19"/>
      <c r="BM17" s="19">
        <f t="shared" ref="BM17" si="90">MAX(BJ17-BL17,0)</f>
        <v>0</v>
      </c>
      <c r="BN17" s="20"/>
      <c r="BO17" s="19"/>
      <c r="BP17" s="19">
        <f t="shared" ref="BP17" si="91">MAX(BM17-BO17,0)</f>
        <v>0</v>
      </c>
      <c r="BQ17" s="20"/>
      <c r="BR17" s="19"/>
      <c r="BS17" s="19">
        <f t="shared" ref="BS17" si="92">MAX(BP17-BR17,0)</f>
        <v>0</v>
      </c>
      <c r="BT17" s="20"/>
      <c r="BU17" s="19"/>
      <c r="BV17" s="19">
        <f t="shared" ref="BV17" si="93">MAX(BS17-BU17,0)</f>
        <v>0</v>
      </c>
      <c r="BW17" s="20"/>
      <c r="BX17" s="19"/>
      <c r="BY17" s="19">
        <f t="shared" ref="BY17" si="94">MAX(BV17-BX17,0)</f>
        <v>0</v>
      </c>
      <c r="BZ17" s="20"/>
      <c r="CA17" s="19"/>
      <c r="CB17" s="19">
        <f t="shared" ref="CB17" si="95">MAX(BY17-CA17,0)</f>
        <v>0</v>
      </c>
      <c r="CC17" s="20"/>
      <c r="CD17" s="21"/>
      <c r="CE17" s="22"/>
    </row>
    <row r="18" spans="1:83" x14ac:dyDescent="0.25">
      <c r="A18" s="13"/>
      <c r="B18" s="13"/>
      <c r="C18" s="13"/>
      <c r="D18" s="14"/>
      <c r="E18" s="135"/>
      <c r="F18" s="15"/>
      <c r="G18" s="16">
        <f t="shared" ca="1" si="23"/>
        <v>0</v>
      </c>
      <c r="H18" s="17"/>
      <c r="I18" s="18"/>
      <c r="J18" s="19"/>
      <c r="K18" s="19">
        <f t="shared" si="24"/>
        <v>0</v>
      </c>
      <c r="L18" s="20"/>
      <c r="M18" s="19"/>
      <c r="N18" s="19">
        <f t="shared" si="25"/>
        <v>0</v>
      </c>
      <c r="O18" s="20"/>
      <c r="P18" s="19"/>
      <c r="Q18" s="19">
        <f t="shared" si="26"/>
        <v>0</v>
      </c>
      <c r="R18" s="20"/>
      <c r="S18" s="19"/>
      <c r="T18" s="19">
        <f t="shared" si="27"/>
        <v>0</v>
      </c>
      <c r="U18" s="20"/>
      <c r="V18" s="19"/>
      <c r="W18" s="19">
        <f t="shared" si="28"/>
        <v>0</v>
      </c>
      <c r="X18" s="20"/>
      <c r="Y18" s="19"/>
      <c r="Z18" s="19">
        <f t="shared" si="29"/>
        <v>0</v>
      </c>
      <c r="AA18" s="20"/>
      <c r="AB18" s="19"/>
      <c r="AC18" s="19">
        <f t="shared" si="30"/>
        <v>0</v>
      </c>
      <c r="AD18" s="20"/>
      <c r="AE18" s="19"/>
      <c r="AF18" s="19">
        <f t="shared" si="31"/>
        <v>0</v>
      </c>
      <c r="AG18" s="20"/>
      <c r="AH18" s="19"/>
      <c r="AI18" s="19">
        <f t="shared" si="32"/>
        <v>0</v>
      </c>
      <c r="AJ18" s="20"/>
      <c r="AK18" s="19"/>
      <c r="AL18" s="19">
        <f t="shared" si="33"/>
        <v>0</v>
      </c>
      <c r="AM18" s="20"/>
      <c r="AN18" s="19"/>
      <c r="AO18" s="19">
        <f t="shared" si="34"/>
        <v>0</v>
      </c>
      <c r="AP18" s="20"/>
      <c r="AQ18" s="19"/>
      <c r="AR18" s="19">
        <f t="shared" si="35"/>
        <v>0</v>
      </c>
      <c r="AS18" s="20"/>
      <c r="AT18" s="19"/>
      <c r="AU18" s="19">
        <f t="shared" si="36"/>
        <v>0</v>
      </c>
      <c r="AV18" s="20"/>
      <c r="AW18" s="19"/>
      <c r="AX18" s="19">
        <f t="shared" si="37"/>
        <v>0</v>
      </c>
      <c r="AY18" s="20"/>
      <c r="AZ18" s="19"/>
      <c r="BA18" s="19">
        <f t="shared" si="38"/>
        <v>0</v>
      </c>
      <c r="BB18" s="20"/>
      <c r="BC18" s="19"/>
      <c r="BD18" s="19">
        <f t="shared" si="39"/>
        <v>0</v>
      </c>
      <c r="BE18" s="20"/>
      <c r="BF18" s="19"/>
      <c r="BG18" s="19">
        <f t="shared" si="40"/>
        <v>0</v>
      </c>
      <c r="BH18" s="20"/>
      <c r="BI18" s="19"/>
      <c r="BJ18" s="19">
        <f t="shared" si="41"/>
        <v>0</v>
      </c>
      <c r="BK18" s="20"/>
      <c r="BL18" s="19"/>
      <c r="BM18" s="19">
        <f t="shared" si="42"/>
        <v>0</v>
      </c>
      <c r="BN18" s="20"/>
      <c r="BO18" s="19"/>
      <c r="BP18" s="19">
        <f t="shared" si="43"/>
        <v>0</v>
      </c>
      <c r="BQ18" s="20"/>
      <c r="BR18" s="19"/>
      <c r="BS18" s="19">
        <f t="shared" si="44"/>
        <v>0</v>
      </c>
      <c r="BT18" s="20"/>
      <c r="BU18" s="19"/>
      <c r="BV18" s="19">
        <f t="shared" si="45"/>
        <v>0</v>
      </c>
      <c r="BW18" s="20"/>
      <c r="BX18" s="19"/>
      <c r="BY18" s="19">
        <f t="shared" si="46"/>
        <v>0</v>
      </c>
      <c r="BZ18" s="20"/>
      <c r="CA18" s="19"/>
      <c r="CB18" s="19">
        <f t="shared" si="47"/>
        <v>0</v>
      </c>
      <c r="CC18" s="20"/>
      <c r="CD18" s="21"/>
      <c r="CE18" s="22"/>
    </row>
    <row r="19" spans="1:83" ht="10.199999999999999" customHeight="1" x14ac:dyDescent="0.25">
      <c r="A19" s="13"/>
      <c r="B19" s="13"/>
      <c r="C19" s="13"/>
      <c r="D19" s="14"/>
      <c r="E19" s="135"/>
      <c r="F19" s="15"/>
      <c r="G19" s="16">
        <f t="shared" ca="1" si="23"/>
        <v>0</v>
      </c>
      <c r="H19" s="17"/>
      <c r="I19" s="18"/>
      <c r="J19" s="19"/>
      <c r="K19" s="19">
        <f t="shared" si="24"/>
        <v>0</v>
      </c>
      <c r="L19" s="20"/>
      <c r="M19" s="19"/>
      <c r="N19" s="19">
        <f t="shared" si="25"/>
        <v>0</v>
      </c>
      <c r="O19" s="20"/>
      <c r="P19" s="19"/>
      <c r="Q19" s="19">
        <f t="shared" si="26"/>
        <v>0</v>
      </c>
      <c r="R19" s="20"/>
      <c r="S19" s="19"/>
      <c r="T19" s="19">
        <f t="shared" si="27"/>
        <v>0</v>
      </c>
      <c r="U19" s="20"/>
      <c r="V19" s="19"/>
      <c r="W19" s="19">
        <f t="shared" si="28"/>
        <v>0</v>
      </c>
      <c r="X19" s="20"/>
      <c r="Y19" s="19"/>
      <c r="Z19" s="19">
        <f t="shared" si="29"/>
        <v>0</v>
      </c>
      <c r="AA19" s="20"/>
      <c r="AB19" s="19"/>
      <c r="AC19" s="19">
        <f t="shared" si="30"/>
        <v>0</v>
      </c>
      <c r="AD19" s="20"/>
      <c r="AE19" s="19"/>
      <c r="AF19" s="19">
        <f t="shared" si="31"/>
        <v>0</v>
      </c>
      <c r="AG19" s="20"/>
      <c r="AH19" s="19"/>
      <c r="AI19" s="19">
        <f t="shared" si="32"/>
        <v>0</v>
      </c>
      <c r="AJ19" s="20"/>
      <c r="AK19" s="19"/>
      <c r="AL19" s="19">
        <f t="shared" si="33"/>
        <v>0</v>
      </c>
      <c r="AM19" s="20"/>
      <c r="AN19" s="19"/>
      <c r="AO19" s="19">
        <f t="shared" si="34"/>
        <v>0</v>
      </c>
      <c r="AP19" s="20"/>
      <c r="AQ19" s="19"/>
      <c r="AR19" s="19">
        <f t="shared" si="35"/>
        <v>0</v>
      </c>
      <c r="AS19" s="20"/>
      <c r="AT19" s="19"/>
      <c r="AU19" s="19">
        <f t="shared" si="36"/>
        <v>0</v>
      </c>
      <c r="AV19" s="20"/>
      <c r="AW19" s="19"/>
      <c r="AX19" s="19">
        <f t="shared" si="37"/>
        <v>0</v>
      </c>
      <c r="AY19" s="20"/>
      <c r="AZ19" s="19"/>
      <c r="BA19" s="19">
        <f t="shared" si="38"/>
        <v>0</v>
      </c>
      <c r="BB19" s="20"/>
      <c r="BC19" s="19"/>
      <c r="BD19" s="19">
        <f t="shared" si="39"/>
        <v>0</v>
      </c>
      <c r="BE19" s="20"/>
      <c r="BF19" s="19"/>
      <c r="BG19" s="19">
        <f t="shared" si="40"/>
        <v>0</v>
      </c>
      <c r="BH19" s="20"/>
      <c r="BI19" s="19"/>
      <c r="BJ19" s="19">
        <f t="shared" si="41"/>
        <v>0</v>
      </c>
      <c r="BK19" s="20"/>
      <c r="BL19" s="19"/>
      <c r="BM19" s="19">
        <f t="shared" si="42"/>
        <v>0</v>
      </c>
      <c r="BN19" s="20"/>
      <c r="BO19" s="19"/>
      <c r="BP19" s="19">
        <f t="shared" si="43"/>
        <v>0</v>
      </c>
      <c r="BQ19" s="20"/>
      <c r="BR19" s="19"/>
      <c r="BS19" s="19">
        <f t="shared" si="44"/>
        <v>0</v>
      </c>
      <c r="BT19" s="20"/>
      <c r="BU19" s="19"/>
      <c r="BV19" s="19">
        <f t="shared" si="45"/>
        <v>0</v>
      </c>
      <c r="BW19" s="20"/>
      <c r="BX19" s="19"/>
      <c r="BY19" s="19">
        <f t="shared" si="46"/>
        <v>0</v>
      </c>
      <c r="BZ19" s="20"/>
      <c r="CA19" s="19"/>
      <c r="CB19" s="19">
        <f t="shared" si="47"/>
        <v>0</v>
      </c>
      <c r="CC19" s="20"/>
      <c r="CD19" s="21"/>
      <c r="CE19" s="22"/>
    </row>
    <row r="20" spans="1:83" x14ac:dyDescent="0.25">
      <c r="A20" s="13"/>
      <c r="B20" s="13"/>
      <c r="C20" s="13"/>
      <c r="D20" s="14"/>
      <c r="E20" s="135"/>
      <c r="F20" s="15"/>
      <c r="G20" s="16">
        <f t="shared" ca="1" si="23"/>
        <v>0</v>
      </c>
      <c r="H20" s="17"/>
      <c r="I20" s="18"/>
      <c r="J20" s="19"/>
      <c r="K20" s="19">
        <f t="shared" ref="K20:K24" si="96">MAX(I20-J20, 0)</f>
        <v>0</v>
      </c>
      <c r="L20" s="20"/>
      <c r="M20" s="19"/>
      <c r="N20" s="19">
        <f t="shared" ref="N20:N24" si="97">MAX(K20-M20,0)</f>
        <v>0</v>
      </c>
      <c r="O20" s="20"/>
      <c r="P20" s="19"/>
      <c r="Q20" s="19">
        <f t="shared" ref="Q20:Q24" si="98">MAX(N20-P20,0)</f>
        <v>0</v>
      </c>
      <c r="R20" s="20"/>
      <c r="S20" s="19"/>
      <c r="T20" s="19">
        <f t="shared" ref="T20:T24" si="99">MAX(Q20-S20,0)</f>
        <v>0</v>
      </c>
      <c r="U20" s="20"/>
      <c r="V20" s="19"/>
      <c r="W20" s="19">
        <f t="shared" ref="W20:W24" si="100">MAX(T20-V20,0)</f>
        <v>0</v>
      </c>
      <c r="X20" s="20"/>
      <c r="Y20" s="19"/>
      <c r="Z20" s="19">
        <f t="shared" ref="Z20:Z24" si="101">MAX(W20-Y20,0)</f>
        <v>0</v>
      </c>
      <c r="AA20" s="20"/>
      <c r="AB20" s="19"/>
      <c r="AC20" s="19">
        <f t="shared" ref="AC20:AC24" si="102">MAX(Z20-AB20,0)</f>
        <v>0</v>
      </c>
      <c r="AD20" s="20"/>
      <c r="AE20" s="19"/>
      <c r="AF20" s="19">
        <f t="shared" ref="AF20:AF24" si="103">MAX(AC20-AE20,0)</f>
        <v>0</v>
      </c>
      <c r="AG20" s="20"/>
      <c r="AH20" s="19"/>
      <c r="AI20" s="19">
        <f t="shared" ref="AI20:AI24" si="104">MAX(AF20-AH20,0)</f>
        <v>0</v>
      </c>
      <c r="AJ20" s="20"/>
      <c r="AK20" s="19"/>
      <c r="AL20" s="19">
        <f t="shared" ref="AL20:AL24" si="105">MAX(AI20-AK20,0)</f>
        <v>0</v>
      </c>
      <c r="AM20" s="20"/>
      <c r="AN20" s="19"/>
      <c r="AO20" s="19">
        <f t="shared" ref="AO20:AO24" si="106">MAX(AL20-AN20,0)</f>
        <v>0</v>
      </c>
      <c r="AP20" s="20"/>
      <c r="AQ20" s="19"/>
      <c r="AR20" s="19">
        <f t="shared" ref="AR20:AR24" si="107">MAX(AO20-AQ20,0)</f>
        <v>0</v>
      </c>
      <c r="AS20" s="20"/>
      <c r="AT20" s="19"/>
      <c r="AU20" s="19">
        <f t="shared" ref="AU20:AU24" si="108">MAX(AR20-AT20,0)</f>
        <v>0</v>
      </c>
      <c r="AV20" s="20"/>
      <c r="AW20" s="19"/>
      <c r="AX20" s="19">
        <f t="shared" ref="AX20:AX24" si="109">MAX(AU20-AW20,0)</f>
        <v>0</v>
      </c>
      <c r="AY20" s="20"/>
      <c r="AZ20" s="19"/>
      <c r="BA20" s="19">
        <f t="shared" ref="BA20:BA24" si="110">MAX(AX20-AZ20,0)</f>
        <v>0</v>
      </c>
      <c r="BB20" s="20"/>
      <c r="BC20" s="19"/>
      <c r="BD20" s="19">
        <f t="shared" ref="BD20:BD24" si="111">MAX(BA20-BC20,0)</f>
        <v>0</v>
      </c>
      <c r="BE20" s="20"/>
      <c r="BF20" s="19"/>
      <c r="BG20" s="19">
        <f t="shared" ref="BG20:BG24" si="112">MAX(BD20-BF20,0)</f>
        <v>0</v>
      </c>
      <c r="BH20" s="20"/>
      <c r="BI20" s="19"/>
      <c r="BJ20" s="19">
        <f t="shared" ref="BJ20:BJ24" si="113">MAX(BG20-BI20,0)</f>
        <v>0</v>
      </c>
      <c r="BK20" s="20"/>
      <c r="BL20" s="19"/>
      <c r="BM20" s="19">
        <f t="shared" ref="BM20:BM24" si="114">MAX(BJ20-BL20,0)</f>
        <v>0</v>
      </c>
      <c r="BN20" s="20"/>
      <c r="BO20" s="19"/>
      <c r="BP20" s="19">
        <f t="shared" ref="BP20:BP24" si="115">MAX(BM20-BO20,0)</f>
        <v>0</v>
      </c>
      <c r="BQ20" s="20"/>
      <c r="BR20" s="19"/>
      <c r="BS20" s="19">
        <f t="shared" ref="BS20:BS24" si="116">MAX(BP20-BR20,0)</f>
        <v>0</v>
      </c>
      <c r="BT20" s="20"/>
      <c r="BU20" s="19"/>
      <c r="BV20" s="19">
        <f t="shared" ref="BV20:BV24" si="117">MAX(BS20-BU20,0)</f>
        <v>0</v>
      </c>
      <c r="BW20" s="20"/>
      <c r="BX20" s="19"/>
      <c r="BY20" s="19">
        <f t="shared" ref="BY20:BY24" si="118">MAX(BV20-BX20,0)</f>
        <v>0</v>
      </c>
      <c r="BZ20" s="20"/>
      <c r="CA20" s="19"/>
      <c r="CB20" s="19">
        <f t="shared" ref="CB20:CB24" si="119">MAX(BY20-CA20,0)</f>
        <v>0</v>
      </c>
      <c r="CC20" s="20"/>
      <c r="CD20" s="21"/>
      <c r="CE20" s="22"/>
    </row>
    <row r="21" spans="1:83" x14ac:dyDescent="0.25">
      <c r="A21" s="13"/>
      <c r="B21" s="13"/>
      <c r="C21" s="13"/>
      <c r="D21" s="14"/>
      <c r="E21" s="135"/>
      <c r="F21" s="15"/>
      <c r="G21" s="16">
        <f t="shared" ca="1" si="23"/>
        <v>0</v>
      </c>
      <c r="H21" s="17"/>
      <c r="I21" s="18"/>
      <c r="J21" s="19"/>
      <c r="K21" s="19">
        <f t="shared" si="96"/>
        <v>0</v>
      </c>
      <c r="L21" s="20"/>
      <c r="M21" s="19"/>
      <c r="N21" s="19">
        <f t="shared" si="97"/>
        <v>0</v>
      </c>
      <c r="O21" s="20"/>
      <c r="P21" s="19"/>
      <c r="Q21" s="19">
        <f t="shared" si="98"/>
        <v>0</v>
      </c>
      <c r="R21" s="20"/>
      <c r="S21" s="19"/>
      <c r="T21" s="19">
        <f t="shared" si="99"/>
        <v>0</v>
      </c>
      <c r="U21" s="20"/>
      <c r="V21" s="19"/>
      <c r="W21" s="19">
        <f t="shared" si="100"/>
        <v>0</v>
      </c>
      <c r="X21" s="20"/>
      <c r="Y21" s="19"/>
      <c r="Z21" s="19">
        <f t="shared" si="101"/>
        <v>0</v>
      </c>
      <c r="AA21" s="20"/>
      <c r="AB21" s="19"/>
      <c r="AC21" s="19">
        <f t="shared" si="102"/>
        <v>0</v>
      </c>
      <c r="AD21" s="20"/>
      <c r="AE21" s="19"/>
      <c r="AF21" s="19">
        <f t="shared" si="103"/>
        <v>0</v>
      </c>
      <c r="AG21" s="20"/>
      <c r="AH21" s="19"/>
      <c r="AI21" s="19">
        <f t="shared" si="104"/>
        <v>0</v>
      </c>
      <c r="AJ21" s="20"/>
      <c r="AK21" s="19"/>
      <c r="AL21" s="19">
        <f t="shared" si="105"/>
        <v>0</v>
      </c>
      <c r="AM21" s="20"/>
      <c r="AN21" s="19"/>
      <c r="AO21" s="19">
        <f t="shared" si="106"/>
        <v>0</v>
      </c>
      <c r="AP21" s="20"/>
      <c r="AQ21" s="19"/>
      <c r="AR21" s="19">
        <f t="shared" si="107"/>
        <v>0</v>
      </c>
      <c r="AS21" s="20"/>
      <c r="AT21" s="19"/>
      <c r="AU21" s="19">
        <f t="shared" si="108"/>
        <v>0</v>
      </c>
      <c r="AV21" s="20"/>
      <c r="AW21" s="19"/>
      <c r="AX21" s="19">
        <f t="shared" si="109"/>
        <v>0</v>
      </c>
      <c r="AY21" s="20"/>
      <c r="AZ21" s="19"/>
      <c r="BA21" s="19">
        <f t="shared" si="110"/>
        <v>0</v>
      </c>
      <c r="BB21" s="20"/>
      <c r="BC21" s="19"/>
      <c r="BD21" s="19">
        <f t="shared" si="111"/>
        <v>0</v>
      </c>
      <c r="BE21" s="20"/>
      <c r="BF21" s="19"/>
      <c r="BG21" s="19">
        <f t="shared" si="112"/>
        <v>0</v>
      </c>
      <c r="BH21" s="20"/>
      <c r="BI21" s="19"/>
      <c r="BJ21" s="19">
        <f t="shared" si="113"/>
        <v>0</v>
      </c>
      <c r="BK21" s="20"/>
      <c r="BL21" s="19"/>
      <c r="BM21" s="19">
        <f t="shared" si="114"/>
        <v>0</v>
      </c>
      <c r="BN21" s="20"/>
      <c r="BO21" s="19"/>
      <c r="BP21" s="19">
        <f t="shared" si="115"/>
        <v>0</v>
      </c>
      <c r="BQ21" s="20"/>
      <c r="BR21" s="19"/>
      <c r="BS21" s="19">
        <f t="shared" si="116"/>
        <v>0</v>
      </c>
      <c r="BT21" s="20"/>
      <c r="BU21" s="19"/>
      <c r="BV21" s="19">
        <f t="shared" si="117"/>
        <v>0</v>
      </c>
      <c r="BW21" s="20"/>
      <c r="BX21" s="19"/>
      <c r="BY21" s="19">
        <f t="shared" si="118"/>
        <v>0</v>
      </c>
      <c r="BZ21" s="20"/>
      <c r="CA21" s="19"/>
      <c r="CB21" s="19">
        <f t="shared" si="119"/>
        <v>0</v>
      </c>
      <c r="CC21" s="20"/>
      <c r="CD21" s="21"/>
      <c r="CE21" s="22"/>
    </row>
    <row r="22" spans="1:83" x14ac:dyDescent="0.25">
      <c r="A22" s="13"/>
      <c r="B22" s="13"/>
      <c r="C22" s="13"/>
      <c r="D22" s="14"/>
      <c r="E22" s="135"/>
      <c r="F22" s="15"/>
      <c r="G22" s="16">
        <f t="shared" ca="1" si="23"/>
        <v>0</v>
      </c>
      <c r="H22" s="17"/>
      <c r="I22" s="18"/>
      <c r="J22" s="19"/>
      <c r="K22" s="19">
        <f t="shared" si="96"/>
        <v>0</v>
      </c>
      <c r="L22" s="20"/>
      <c r="M22" s="19"/>
      <c r="N22" s="19">
        <f t="shared" si="97"/>
        <v>0</v>
      </c>
      <c r="O22" s="20"/>
      <c r="P22" s="19"/>
      <c r="Q22" s="19">
        <f t="shared" si="98"/>
        <v>0</v>
      </c>
      <c r="R22" s="20"/>
      <c r="S22" s="19"/>
      <c r="T22" s="19">
        <f t="shared" si="99"/>
        <v>0</v>
      </c>
      <c r="U22" s="20"/>
      <c r="V22" s="19"/>
      <c r="W22" s="19">
        <f t="shared" si="100"/>
        <v>0</v>
      </c>
      <c r="X22" s="20"/>
      <c r="Y22" s="19"/>
      <c r="Z22" s="19">
        <f t="shared" si="101"/>
        <v>0</v>
      </c>
      <c r="AA22" s="20"/>
      <c r="AB22" s="19"/>
      <c r="AC22" s="19">
        <f t="shared" si="102"/>
        <v>0</v>
      </c>
      <c r="AD22" s="20"/>
      <c r="AE22" s="19"/>
      <c r="AF22" s="19">
        <f t="shared" si="103"/>
        <v>0</v>
      </c>
      <c r="AG22" s="20"/>
      <c r="AH22" s="19"/>
      <c r="AI22" s="19">
        <f t="shared" si="104"/>
        <v>0</v>
      </c>
      <c r="AJ22" s="20"/>
      <c r="AK22" s="19"/>
      <c r="AL22" s="19">
        <f t="shared" si="105"/>
        <v>0</v>
      </c>
      <c r="AM22" s="20"/>
      <c r="AN22" s="19"/>
      <c r="AO22" s="19">
        <f t="shared" si="106"/>
        <v>0</v>
      </c>
      <c r="AP22" s="20"/>
      <c r="AQ22" s="19"/>
      <c r="AR22" s="19">
        <f t="shared" si="107"/>
        <v>0</v>
      </c>
      <c r="AS22" s="20"/>
      <c r="AT22" s="19"/>
      <c r="AU22" s="19">
        <f t="shared" si="108"/>
        <v>0</v>
      </c>
      <c r="AV22" s="20"/>
      <c r="AW22" s="19"/>
      <c r="AX22" s="19">
        <f t="shared" si="109"/>
        <v>0</v>
      </c>
      <c r="AY22" s="20"/>
      <c r="AZ22" s="19"/>
      <c r="BA22" s="19">
        <f t="shared" si="110"/>
        <v>0</v>
      </c>
      <c r="BB22" s="20"/>
      <c r="BC22" s="19"/>
      <c r="BD22" s="19">
        <f t="shared" si="111"/>
        <v>0</v>
      </c>
      <c r="BE22" s="20"/>
      <c r="BF22" s="19"/>
      <c r="BG22" s="19">
        <f t="shared" si="112"/>
        <v>0</v>
      </c>
      <c r="BH22" s="20"/>
      <c r="BI22" s="19"/>
      <c r="BJ22" s="19">
        <f t="shared" si="113"/>
        <v>0</v>
      </c>
      <c r="BK22" s="20"/>
      <c r="BL22" s="19"/>
      <c r="BM22" s="19">
        <f t="shared" si="114"/>
        <v>0</v>
      </c>
      <c r="BN22" s="20"/>
      <c r="BO22" s="19"/>
      <c r="BP22" s="19">
        <f t="shared" si="115"/>
        <v>0</v>
      </c>
      <c r="BQ22" s="20"/>
      <c r="BR22" s="19"/>
      <c r="BS22" s="19">
        <f t="shared" si="116"/>
        <v>0</v>
      </c>
      <c r="BT22" s="20"/>
      <c r="BU22" s="19"/>
      <c r="BV22" s="19">
        <f t="shared" si="117"/>
        <v>0</v>
      </c>
      <c r="BW22" s="20"/>
      <c r="BX22" s="19"/>
      <c r="BY22" s="19">
        <f t="shared" si="118"/>
        <v>0</v>
      </c>
      <c r="BZ22" s="20"/>
      <c r="CA22" s="19"/>
      <c r="CB22" s="19">
        <f t="shared" si="119"/>
        <v>0</v>
      </c>
      <c r="CC22" s="20"/>
      <c r="CD22" s="21"/>
      <c r="CE22" s="22"/>
    </row>
    <row r="23" spans="1:83" x14ac:dyDescent="0.25">
      <c r="A23" s="13"/>
      <c r="B23" s="13"/>
      <c r="C23" s="13"/>
      <c r="D23" s="14"/>
      <c r="E23" s="135"/>
      <c r="F23" s="15"/>
      <c r="G23" s="16">
        <f t="shared" ca="1" si="23"/>
        <v>0</v>
      </c>
      <c r="H23" s="17"/>
      <c r="I23" s="18"/>
      <c r="J23" s="19"/>
      <c r="K23" s="19">
        <f t="shared" si="96"/>
        <v>0</v>
      </c>
      <c r="L23" s="20"/>
      <c r="M23" s="19"/>
      <c r="N23" s="19">
        <f t="shared" si="97"/>
        <v>0</v>
      </c>
      <c r="O23" s="20"/>
      <c r="P23" s="19"/>
      <c r="Q23" s="19">
        <f t="shared" si="98"/>
        <v>0</v>
      </c>
      <c r="R23" s="20"/>
      <c r="S23" s="19"/>
      <c r="T23" s="19">
        <f t="shared" si="99"/>
        <v>0</v>
      </c>
      <c r="U23" s="20"/>
      <c r="V23" s="19"/>
      <c r="W23" s="19">
        <f t="shared" si="100"/>
        <v>0</v>
      </c>
      <c r="X23" s="20"/>
      <c r="Y23" s="19"/>
      <c r="Z23" s="19">
        <f t="shared" si="101"/>
        <v>0</v>
      </c>
      <c r="AA23" s="20"/>
      <c r="AB23" s="19"/>
      <c r="AC23" s="19">
        <f t="shared" si="102"/>
        <v>0</v>
      </c>
      <c r="AD23" s="20"/>
      <c r="AE23" s="19"/>
      <c r="AF23" s="19">
        <f t="shared" si="103"/>
        <v>0</v>
      </c>
      <c r="AG23" s="20"/>
      <c r="AH23" s="19"/>
      <c r="AI23" s="19">
        <f t="shared" si="104"/>
        <v>0</v>
      </c>
      <c r="AJ23" s="20"/>
      <c r="AK23" s="19"/>
      <c r="AL23" s="19">
        <f t="shared" si="105"/>
        <v>0</v>
      </c>
      <c r="AM23" s="20"/>
      <c r="AN23" s="19"/>
      <c r="AO23" s="19">
        <f t="shared" si="106"/>
        <v>0</v>
      </c>
      <c r="AP23" s="20"/>
      <c r="AQ23" s="19"/>
      <c r="AR23" s="19">
        <f t="shared" si="107"/>
        <v>0</v>
      </c>
      <c r="AS23" s="20"/>
      <c r="AT23" s="19"/>
      <c r="AU23" s="19">
        <f t="shared" si="108"/>
        <v>0</v>
      </c>
      <c r="AV23" s="20"/>
      <c r="AW23" s="19"/>
      <c r="AX23" s="19">
        <f t="shared" si="109"/>
        <v>0</v>
      </c>
      <c r="AY23" s="20"/>
      <c r="AZ23" s="19"/>
      <c r="BA23" s="19">
        <f t="shared" si="110"/>
        <v>0</v>
      </c>
      <c r="BB23" s="20"/>
      <c r="BC23" s="19"/>
      <c r="BD23" s="19">
        <f t="shared" si="111"/>
        <v>0</v>
      </c>
      <c r="BE23" s="20"/>
      <c r="BF23" s="19"/>
      <c r="BG23" s="19">
        <f t="shared" si="112"/>
        <v>0</v>
      </c>
      <c r="BH23" s="20"/>
      <c r="BI23" s="19"/>
      <c r="BJ23" s="19">
        <f t="shared" si="113"/>
        <v>0</v>
      </c>
      <c r="BK23" s="20"/>
      <c r="BL23" s="19"/>
      <c r="BM23" s="19">
        <f t="shared" si="114"/>
        <v>0</v>
      </c>
      <c r="BN23" s="20"/>
      <c r="BO23" s="19"/>
      <c r="BP23" s="19">
        <f t="shared" si="115"/>
        <v>0</v>
      </c>
      <c r="BQ23" s="20"/>
      <c r="BR23" s="19"/>
      <c r="BS23" s="19">
        <f t="shared" si="116"/>
        <v>0</v>
      </c>
      <c r="BT23" s="20"/>
      <c r="BU23" s="19"/>
      <c r="BV23" s="19">
        <f t="shared" si="117"/>
        <v>0</v>
      </c>
      <c r="BW23" s="20"/>
      <c r="BX23" s="19"/>
      <c r="BY23" s="19">
        <f t="shared" si="118"/>
        <v>0</v>
      </c>
      <c r="BZ23" s="20"/>
      <c r="CA23" s="19"/>
      <c r="CB23" s="19">
        <f t="shared" si="119"/>
        <v>0</v>
      </c>
      <c r="CC23" s="20"/>
      <c r="CD23" s="21"/>
      <c r="CE23" s="22"/>
    </row>
    <row r="24" spans="1:83" x14ac:dyDescent="0.25">
      <c r="A24" s="13"/>
      <c r="B24" s="13"/>
      <c r="C24" s="13"/>
      <c r="D24" s="14"/>
      <c r="E24" s="135"/>
      <c r="F24" s="15"/>
      <c r="G24" s="16">
        <f t="shared" ca="1" si="23"/>
        <v>0</v>
      </c>
      <c r="H24" s="17"/>
      <c r="I24" s="18"/>
      <c r="J24" s="19"/>
      <c r="K24" s="19">
        <f t="shared" si="96"/>
        <v>0</v>
      </c>
      <c r="L24" s="20"/>
      <c r="M24" s="19"/>
      <c r="N24" s="19">
        <f t="shared" si="97"/>
        <v>0</v>
      </c>
      <c r="O24" s="20"/>
      <c r="P24" s="19"/>
      <c r="Q24" s="19">
        <f t="shared" si="98"/>
        <v>0</v>
      </c>
      <c r="R24" s="20"/>
      <c r="S24" s="19"/>
      <c r="T24" s="19">
        <f t="shared" si="99"/>
        <v>0</v>
      </c>
      <c r="U24" s="20"/>
      <c r="V24" s="19"/>
      <c r="W24" s="19">
        <f t="shared" si="100"/>
        <v>0</v>
      </c>
      <c r="X24" s="20"/>
      <c r="Y24" s="19"/>
      <c r="Z24" s="19">
        <f t="shared" si="101"/>
        <v>0</v>
      </c>
      <c r="AA24" s="20"/>
      <c r="AB24" s="19"/>
      <c r="AC24" s="19">
        <f t="shared" si="102"/>
        <v>0</v>
      </c>
      <c r="AD24" s="20"/>
      <c r="AE24" s="19"/>
      <c r="AF24" s="19">
        <f t="shared" si="103"/>
        <v>0</v>
      </c>
      <c r="AG24" s="20"/>
      <c r="AH24" s="19"/>
      <c r="AI24" s="19">
        <f t="shared" si="104"/>
        <v>0</v>
      </c>
      <c r="AJ24" s="20"/>
      <c r="AK24" s="19"/>
      <c r="AL24" s="19">
        <f t="shared" si="105"/>
        <v>0</v>
      </c>
      <c r="AM24" s="20"/>
      <c r="AN24" s="19"/>
      <c r="AO24" s="19">
        <f t="shared" si="106"/>
        <v>0</v>
      </c>
      <c r="AP24" s="20"/>
      <c r="AQ24" s="19"/>
      <c r="AR24" s="19">
        <f t="shared" si="107"/>
        <v>0</v>
      </c>
      <c r="AS24" s="20"/>
      <c r="AT24" s="19"/>
      <c r="AU24" s="19">
        <f t="shared" si="108"/>
        <v>0</v>
      </c>
      <c r="AV24" s="20"/>
      <c r="AW24" s="19"/>
      <c r="AX24" s="19">
        <f t="shared" si="109"/>
        <v>0</v>
      </c>
      <c r="AY24" s="20"/>
      <c r="AZ24" s="19"/>
      <c r="BA24" s="19">
        <f t="shared" si="110"/>
        <v>0</v>
      </c>
      <c r="BB24" s="20"/>
      <c r="BC24" s="19"/>
      <c r="BD24" s="19">
        <f t="shared" si="111"/>
        <v>0</v>
      </c>
      <c r="BE24" s="20"/>
      <c r="BF24" s="19"/>
      <c r="BG24" s="19">
        <f t="shared" si="112"/>
        <v>0</v>
      </c>
      <c r="BH24" s="20"/>
      <c r="BI24" s="19"/>
      <c r="BJ24" s="19">
        <f t="shared" si="113"/>
        <v>0</v>
      </c>
      <c r="BK24" s="20"/>
      <c r="BL24" s="19"/>
      <c r="BM24" s="19">
        <f t="shared" si="114"/>
        <v>0</v>
      </c>
      <c r="BN24" s="20"/>
      <c r="BO24" s="19"/>
      <c r="BP24" s="19">
        <f t="shared" si="115"/>
        <v>0</v>
      </c>
      <c r="BQ24" s="20"/>
      <c r="BR24" s="19"/>
      <c r="BS24" s="19">
        <f t="shared" si="116"/>
        <v>0</v>
      </c>
      <c r="BT24" s="20"/>
      <c r="BU24" s="19"/>
      <c r="BV24" s="19">
        <f t="shared" si="117"/>
        <v>0</v>
      </c>
      <c r="BW24" s="20"/>
      <c r="BX24" s="19"/>
      <c r="BY24" s="19">
        <f t="shared" si="118"/>
        <v>0</v>
      </c>
      <c r="BZ24" s="20"/>
      <c r="CA24" s="19"/>
      <c r="CB24" s="19">
        <f t="shared" si="119"/>
        <v>0</v>
      </c>
      <c r="CC24" s="20"/>
      <c r="CD24" s="21"/>
      <c r="CE24" s="22"/>
    </row>
    <row r="25" spans="1:83" x14ac:dyDescent="0.25">
      <c r="A25" s="13"/>
      <c r="B25" s="13"/>
      <c r="C25" s="13"/>
      <c r="D25" s="14"/>
      <c r="E25" s="135"/>
      <c r="F25" s="15"/>
      <c r="G25" s="16">
        <f t="shared" ca="1" si="23"/>
        <v>0</v>
      </c>
      <c r="H25" s="17"/>
      <c r="I25" s="18"/>
      <c r="J25" s="19"/>
      <c r="K25" s="19">
        <f t="shared" ref="K25:K26" si="120">MAX(I25-J25, 0)</f>
        <v>0</v>
      </c>
      <c r="L25" s="20"/>
      <c r="M25" s="19"/>
      <c r="N25" s="19">
        <f t="shared" ref="N25:N26" si="121">MAX(K25-M25,0)</f>
        <v>0</v>
      </c>
      <c r="O25" s="20"/>
      <c r="P25" s="19"/>
      <c r="Q25" s="19">
        <f t="shared" ref="Q25:Q26" si="122">MAX(N25-P25,0)</f>
        <v>0</v>
      </c>
      <c r="R25" s="20"/>
      <c r="S25" s="19"/>
      <c r="T25" s="19">
        <f t="shared" ref="T25:T26" si="123">MAX(Q25-S25,0)</f>
        <v>0</v>
      </c>
      <c r="U25" s="20"/>
      <c r="V25" s="19"/>
      <c r="W25" s="19">
        <f t="shared" ref="W25:W26" si="124">MAX(T25-V25,0)</f>
        <v>0</v>
      </c>
      <c r="X25" s="20"/>
      <c r="Y25" s="19"/>
      <c r="Z25" s="19">
        <f t="shared" ref="Z25:Z26" si="125">MAX(W25-Y25,0)</f>
        <v>0</v>
      </c>
      <c r="AA25" s="20"/>
      <c r="AB25" s="19"/>
      <c r="AC25" s="19">
        <f t="shared" ref="AC25:AC26" si="126">MAX(Z25-AB25,0)</f>
        <v>0</v>
      </c>
      <c r="AD25" s="20"/>
      <c r="AE25" s="19"/>
      <c r="AF25" s="19">
        <f t="shared" ref="AF25:AF26" si="127">MAX(AC25-AE25,0)</f>
        <v>0</v>
      </c>
      <c r="AG25" s="20"/>
      <c r="AH25" s="19"/>
      <c r="AI25" s="19">
        <f t="shared" ref="AI25:AI26" si="128">MAX(AF25-AH25,0)</f>
        <v>0</v>
      </c>
      <c r="AJ25" s="20"/>
      <c r="AK25" s="19"/>
      <c r="AL25" s="19">
        <f t="shared" ref="AL25:AL26" si="129">MAX(AI25-AK25,0)</f>
        <v>0</v>
      </c>
      <c r="AM25" s="20"/>
      <c r="AN25" s="19"/>
      <c r="AO25" s="19">
        <f t="shared" ref="AO25:AO26" si="130">MAX(AL25-AN25,0)</f>
        <v>0</v>
      </c>
      <c r="AP25" s="20"/>
      <c r="AQ25" s="19"/>
      <c r="AR25" s="19">
        <f t="shared" ref="AR25:AR26" si="131">MAX(AO25-AQ25,0)</f>
        <v>0</v>
      </c>
      <c r="AS25" s="20"/>
      <c r="AT25" s="19"/>
      <c r="AU25" s="19">
        <f t="shared" ref="AU25:AU26" si="132">MAX(AR25-AT25,0)</f>
        <v>0</v>
      </c>
      <c r="AV25" s="20"/>
      <c r="AW25" s="19"/>
      <c r="AX25" s="19">
        <f t="shared" ref="AX25:AX26" si="133">MAX(AU25-AW25,0)</f>
        <v>0</v>
      </c>
      <c r="AY25" s="20"/>
      <c r="AZ25" s="19"/>
      <c r="BA25" s="19">
        <f t="shared" ref="BA25:BA26" si="134">MAX(AX25-AZ25,0)</f>
        <v>0</v>
      </c>
      <c r="BB25" s="20"/>
      <c r="BC25" s="19"/>
      <c r="BD25" s="19">
        <f t="shared" ref="BD25:BD26" si="135">MAX(BA25-BC25,0)</f>
        <v>0</v>
      </c>
      <c r="BE25" s="20"/>
      <c r="BF25" s="19"/>
      <c r="BG25" s="19">
        <f t="shared" ref="BG25:BG26" si="136">MAX(BD25-BF25,0)</f>
        <v>0</v>
      </c>
      <c r="BH25" s="20"/>
      <c r="BI25" s="19"/>
      <c r="BJ25" s="19">
        <f t="shared" ref="BJ25:BJ26" si="137">MAX(BG25-BI25,0)</f>
        <v>0</v>
      </c>
      <c r="BK25" s="20"/>
      <c r="BL25" s="19"/>
      <c r="BM25" s="19">
        <f t="shared" ref="BM25:BM26" si="138">MAX(BJ25-BL25,0)</f>
        <v>0</v>
      </c>
      <c r="BN25" s="20"/>
      <c r="BO25" s="19"/>
      <c r="BP25" s="19">
        <f t="shared" ref="BP25:BP26" si="139">MAX(BM25-BO25,0)</f>
        <v>0</v>
      </c>
      <c r="BQ25" s="20"/>
      <c r="BR25" s="19"/>
      <c r="BS25" s="19">
        <f t="shared" ref="BS25:BS26" si="140">MAX(BP25-BR25,0)</f>
        <v>0</v>
      </c>
      <c r="BT25" s="20"/>
      <c r="BU25" s="19"/>
      <c r="BV25" s="19">
        <f t="shared" ref="BV25:BV26" si="141">MAX(BS25-BU25,0)</f>
        <v>0</v>
      </c>
      <c r="BW25" s="20"/>
      <c r="BX25" s="19"/>
      <c r="BY25" s="19">
        <f t="shared" ref="BY25:BY26" si="142">MAX(BV25-BX25,0)</f>
        <v>0</v>
      </c>
      <c r="BZ25" s="20"/>
      <c r="CA25" s="19"/>
      <c r="CB25" s="19">
        <f t="shared" ref="CB25:CB26" si="143">MAX(BY25-CA25,0)</f>
        <v>0</v>
      </c>
      <c r="CC25" s="20"/>
      <c r="CD25" s="21"/>
      <c r="CE25" s="22"/>
    </row>
    <row r="26" spans="1:83" x14ac:dyDescent="0.25">
      <c r="A26" s="13"/>
      <c r="B26" s="13"/>
      <c r="C26" s="13"/>
      <c r="D26" s="14"/>
      <c r="E26" s="135"/>
      <c r="F26" s="15"/>
      <c r="G26" s="16">
        <f t="shared" ca="1" si="23"/>
        <v>0</v>
      </c>
      <c r="H26" s="17"/>
      <c r="I26" s="18"/>
      <c r="J26" s="19"/>
      <c r="K26" s="19">
        <f t="shared" si="120"/>
        <v>0</v>
      </c>
      <c r="L26" s="20"/>
      <c r="M26" s="19"/>
      <c r="N26" s="19">
        <f t="shared" si="121"/>
        <v>0</v>
      </c>
      <c r="O26" s="20"/>
      <c r="P26" s="19"/>
      <c r="Q26" s="19">
        <f t="shared" si="122"/>
        <v>0</v>
      </c>
      <c r="R26" s="20"/>
      <c r="S26" s="19"/>
      <c r="T26" s="19">
        <f t="shared" si="123"/>
        <v>0</v>
      </c>
      <c r="U26" s="20"/>
      <c r="V26" s="19"/>
      <c r="W26" s="19">
        <f t="shared" si="124"/>
        <v>0</v>
      </c>
      <c r="X26" s="20"/>
      <c r="Y26" s="19"/>
      <c r="Z26" s="19">
        <f t="shared" si="125"/>
        <v>0</v>
      </c>
      <c r="AA26" s="20"/>
      <c r="AB26" s="19"/>
      <c r="AC26" s="19">
        <f t="shared" si="126"/>
        <v>0</v>
      </c>
      <c r="AD26" s="20"/>
      <c r="AE26" s="19"/>
      <c r="AF26" s="19">
        <f t="shared" si="127"/>
        <v>0</v>
      </c>
      <c r="AG26" s="20"/>
      <c r="AH26" s="19"/>
      <c r="AI26" s="19">
        <f t="shared" si="128"/>
        <v>0</v>
      </c>
      <c r="AJ26" s="20"/>
      <c r="AK26" s="19"/>
      <c r="AL26" s="19">
        <f t="shared" si="129"/>
        <v>0</v>
      </c>
      <c r="AM26" s="20"/>
      <c r="AN26" s="19"/>
      <c r="AO26" s="19">
        <f t="shared" si="130"/>
        <v>0</v>
      </c>
      <c r="AP26" s="20"/>
      <c r="AQ26" s="19"/>
      <c r="AR26" s="19">
        <f t="shared" si="131"/>
        <v>0</v>
      </c>
      <c r="AS26" s="20"/>
      <c r="AT26" s="19"/>
      <c r="AU26" s="19">
        <f t="shared" si="132"/>
        <v>0</v>
      </c>
      <c r="AV26" s="20"/>
      <c r="AW26" s="19"/>
      <c r="AX26" s="19">
        <f t="shared" si="133"/>
        <v>0</v>
      </c>
      <c r="AY26" s="20"/>
      <c r="AZ26" s="19"/>
      <c r="BA26" s="19">
        <f t="shared" si="134"/>
        <v>0</v>
      </c>
      <c r="BB26" s="20"/>
      <c r="BC26" s="19"/>
      <c r="BD26" s="19">
        <f t="shared" si="135"/>
        <v>0</v>
      </c>
      <c r="BE26" s="20"/>
      <c r="BF26" s="19"/>
      <c r="BG26" s="19">
        <f t="shared" si="136"/>
        <v>0</v>
      </c>
      <c r="BH26" s="20"/>
      <c r="BI26" s="19"/>
      <c r="BJ26" s="19">
        <f t="shared" si="137"/>
        <v>0</v>
      </c>
      <c r="BK26" s="20"/>
      <c r="BL26" s="19"/>
      <c r="BM26" s="19">
        <f t="shared" si="138"/>
        <v>0</v>
      </c>
      <c r="BN26" s="20"/>
      <c r="BO26" s="19"/>
      <c r="BP26" s="19">
        <f t="shared" si="139"/>
        <v>0</v>
      </c>
      <c r="BQ26" s="20"/>
      <c r="BR26" s="19"/>
      <c r="BS26" s="19">
        <f t="shared" si="140"/>
        <v>0</v>
      </c>
      <c r="BT26" s="20"/>
      <c r="BU26" s="19"/>
      <c r="BV26" s="19">
        <f t="shared" si="141"/>
        <v>0</v>
      </c>
      <c r="BW26" s="20"/>
      <c r="BX26" s="19"/>
      <c r="BY26" s="19">
        <f t="shared" si="142"/>
        <v>0</v>
      </c>
      <c r="BZ26" s="20"/>
      <c r="CA26" s="19"/>
      <c r="CB26" s="19">
        <f t="shared" si="143"/>
        <v>0</v>
      </c>
      <c r="CC26" s="20"/>
      <c r="CD26" s="21"/>
      <c r="CE26" s="22"/>
    </row>
    <row r="27" spans="1:83" x14ac:dyDescent="0.25">
      <c r="A27" s="13"/>
      <c r="B27" s="13"/>
      <c r="C27" s="13"/>
      <c r="D27" s="14"/>
      <c r="E27" s="135"/>
      <c r="F27" s="15"/>
      <c r="G27" s="16">
        <f t="shared" ca="1" si="23"/>
        <v>0</v>
      </c>
      <c r="H27" s="17"/>
      <c r="I27" s="18"/>
      <c r="J27" s="19"/>
      <c r="K27" s="19">
        <f t="shared" ref="K27:K29" si="144">MAX(I27-J27, 0)</f>
        <v>0</v>
      </c>
      <c r="L27" s="20"/>
      <c r="M27" s="19"/>
      <c r="N27" s="19">
        <f t="shared" ref="N27:N29" si="145">MAX(K27-M27,0)</f>
        <v>0</v>
      </c>
      <c r="O27" s="20"/>
      <c r="P27" s="19"/>
      <c r="Q27" s="19">
        <f t="shared" ref="Q27:Q29" si="146">MAX(N27-P27,0)</f>
        <v>0</v>
      </c>
      <c r="R27" s="20"/>
      <c r="S27" s="19"/>
      <c r="T27" s="19">
        <f t="shared" ref="T27:T29" si="147">MAX(Q27-S27,0)</f>
        <v>0</v>
      </c>
      <c r="U27" s="20"/>
      <c r="V27" s="19"/>
      <c r="W27" s="19">
        <f t="shared" ref="W27:W29" si="148">MAX(T27-V27,0)</f>
        <v>0</v>
      </c>
      <c r="X27" s="20"/>
      <c r="Y27" s="19"/>
      <c r="Z27" s="19">
        <f t="shared" ref="Z27:Z29" si="149">MAX(W27-Y27,0)</f>
        <v>0</v>
      </c>
      <c r="AA27" s="20"/>
      <c r="AB27" s="19"/>
      <c r="AC27" s="19">
        <f t="shared" ref="AC27:AC29" si="150">MAX(Z27-AB27,0)</f>
        <v>0</v>
      </c>
      <c r="AD27" s="20"/>
      <c r="AE27" s="19"/>
      <c r="AF27" s="19">
        <f t="shared" ref="AF27:AF29" si="151">MAX(AC27-AE27,0)</f>
        <v>0</v>
      </c>
      <c r="AG27" s="20"/>
      <c r="AH27" s="19"/>
      <c r="AI27" s="19">
        <f t="shared" ref="AI27:AI29" si="152">MAX(AF27-AH27,0)</f>
        <v>0</v>
      </c>
      <c r="AJ27" s="20"/>
      <c r="AK27" s="19"/>
      <c r="AL27" s="19">
        <f t="shared" ref="AL27:AL29" si="153">MAX(AI27-AK27,0)</f>
        <v>0</v>
      </c>
      <c r="AM27" s="20"/>
      <c r="AN27" s="19"/>
      <c r="AO27" s="19">
        <f t="shared" ref="AO27:AO29" si="154">MAX(AL27-AN27,0)</f>
        <v>0</v>
      </c>
      <c r="AP27" s="20"/>
      <c r="AQ27" s="19"/>
      <c r="AR27" s="19">
        <f t="shared" ref="AR27:AR29" si="155">MAX(AO27-AQ27,0)</f>
        <v>0</v>
      </c>
      <c r="AS27" s="20"/>
      <c r="AT27" s="19"/>
      <c r="AU27" s="19">
        <f t="shared" ref="AU27:AU29" si="156">MAX(AR27-AT27,0)</f>
        <v>0</v>
      </c>
      <c r="AV27" s="20"/>
      <c r="AW27" s="19"/>
      <c r="AX27" s="19">
        <f t="shared" ref="AX27:AX29" si="157">MAX(AU27-AW27,0)</f>
        <v>0</v>
      </c>
      <c r="AY27" s="20"/>
      <c r="AZ27" s="19"/>
      <c r="BA27" s="19">
        <f t="shared" ref="BA27:BA29" si="158">MAX(AX27-AZ27,0)</f>
        <v>0</v>
      </c>
      <c r="BB27" s="20"/>
      <c r="BC27" s="19"/>
      <c r="BD27" s="19">
        <f t="shared" ref="BD27:BD29" si="159">MAX(BA27-BC27,0)</f>
        <v>0</v>
      </c>
      <c r="BE27" s="20"/>
      <c r="BF27" s="19"/>
      <c r="BG27" s="19">
        <f t="shared" ref="BG27:BG29" si="160">MAX(BD27-BF27,0)</f>
        <v>0</v>
      </c>
      <c r="BH27" s="20"/>
      <c r="BI27" s="19"/>
      <c r="BJ27" s="19">
        <f t="shared" ref="BJ27:BJ29" si="161">MAX(BG27-BI27,0)</f>
        <v>0</v>
      </c>
      <c r="BK27" s="20"/>
      <c r="BL27" s="19"/>
      <c r="BM27" s="19">
        <f t="shared" ref="BM27:BM29" si="162">MAX(BJ27-BL27,0)</f>
        <v>0</v>
      </c>
      <c r="BN27" s="20"/>
      <c r="BO27" s="19"/>
      <c r="BP27" s="19">
        <f t="shared" ref="BP27:BP29" si="163">MAX(BM27-BO27,0)</f>
        <v>0</v>
      </c>
      <c r="BQ27" s="20"/>
      <c r="BR27" s="19"/>
      <c r="BS27" s="19">
        <f t="shared" ref="BS27:BS29" si="164">MAX(BP27-BR27,0)</f>
        <v>0</v>
      </c>
      <c r="BT27" s="20"/>
      <c r="BU27" s="19"/>
      <c r="BV27" s="19">
        <f t="shared" ref="BV27:BV29" si="165">MAX(BS27-BU27,0)</f>
        <v>0</v>
      </c>
      <c r="BW27" s="20"/>
      <c r="BX27" s="19"/>
      <c r="BY27" s="19">
        <f t="shared" ref="BY27:BY29" si="166">MAX(BV27-BX27,0)</f>
        <v>0</v>
      </c>
      <c r="BZ27" s="20"/>
      <c r="CA27" s="19"/>
      <c r="CB27" s="19">
        <f t="shared" ref="CB27:CB29" si="167">MAX(BY27-CA27,0)</f>
        <v>0</v>
      </c>
      <c r="CC27" s="20"/>
      <c r="CD27" s="21"/>
      <c r="CE27" s="22"/>
    </row>
    <row r="28" spans="1:83" x14ac:dyDescent="0.25">
      <c r="A28" s="13"/>
      <c r="B28" s="13"/>
      <c r="C28" s="13"/>
      <c r="D28" s="14"/>
      <c r="E28" s="135"/>
      <c r="F28" s="15"/>
      <c r="G28" s="16">
        <f t="shared" ca="1" si="23"/>
        <v>0</v>
      </c>
      <c r="H28" s="17"/>
      <c r="I28" s="18"/>
      <c r="J28" s="19"/>
      <c r="K28" s="19">
        <f t="shared" ref="K28" si="168">MAX(I28-J28, 0)</f>
        <v>0</v>
      </c>
      <c r="L28" s="20"/>
      <c r="M28" s="19"/>
      <c r="N28" s="19">
        <f t="shared" ref="N28" si="169">MAX(K28-M28,0)</f>
        <v>0</v>
      </c>
      <c r="O28" s="20"/>
      <c r="P28" s="19"/>
      <c r="Q28" s="19">
        <f t="shared" ref="Q28" si="170">MAX(N28-P28,0)</f>
        <v>0</v>
      </c>
      <c r="R28" s="20"/>
      <c r="S28" s="19"/>
      <c r="T28" s="19">
        <f t="shared" ref="T28" si="171">MAX(Q28-S28,0)</f>
        <v>0</v>
      </c>
      <c r="U28" s="20"/>
      <c r="V28" s="19"/>
      <c r="W28" s="19">
        <f t="shared" ref="W28" si="172">MAX(T28-V28,0)</f>
        <v>0</v>
      </c>
      <c r="X28" s="20"/>
      <c r="Y28" s="19"/>
      <c r="Z28" s="19">
        <f t="shared" ref="Z28" si="173">MAX(W28-Y28,0)</f>
        <v>0</v>
      </c>
      <c r="AA28" s="20"/>
      <c r="AB28" s="19"/>
      <c r="AC28" s="19">
        <f t="shared" ref="AC28" si="174">MAX(Z28-AB28,0)</f>
        <v>0</v>
      </c>
      <c r="AD28" s="20"/>
      <c r="AE28" s="19"/>
      <c r="AF28" s="19">
        <f t="shared" ref="AF28" si="175">MAX(AC28-AE28,0)</f>
        <v>0</v>
      </c>
      <c r="AG28" s="20"/>
      <c r="AH28" s="19"/>
      <c r="AI28" s="19">
        <f t="shared" ref="AI28" si="176">MAX(AF28-AH28,0)</f>
        <v>0</v>
      </c>
      <c r="AJ28" s="20"/>
      <c r="AK28" s="19"/>
      <c r="AL28" s="19">
        <f t="shared" ref="AL28" si="177">MAX(AI28-AK28,0)</f>
        <v>0</v>
      </c>
      <c r="AM28" s="20"/>
      <c r="AN28" s="19"/>
      <c r="AO28" s="19">
        <f t="shared" ref="AO28" si="178">MAX(AL28-AN28,0)</f>
        <v>0</v>
      </c>
      <c r="AP28" s="20"/>
      <c r="AQ28" s="19"/>
      <c r="AR28" s="19">
        <f t="shared" ref="AR28" si="179">MAX(AO28-AQ28,0)</f>
        <v>0</v>
      </c>
      <c r="AS28" s="20"/>
      <c r="AT28" s="19"/>
      <c r="AU28" s="19">
        <f t="shared" ref="AU28" si="180">MAX(AR28-AT28,0)</f>
        <v>0</v>
      </c>
      <c r="AV28" s="20"/>
      <c r="AW28" s="19"/>
      <c r="AX28" s="19">
        <f t="shared" ref="AX28" si="181">MAX(AU28-AW28,0)</f>
        <v>0</v>
      </c>
      <c r="AY28" s="20"/>
      <c r="AZ28" s="19"/>
      <c r="BA28" s="19">
        <f t="shared" ref="BA28" si="182">MAX(AX28-AZ28,0)</f>
        <v>0</v>
      </c>
      <c r="BB28" s="20"/>
      <c r="BC28" s="19"/>
      <c r="BD28" s="19">
        <f t="shared" ref="BD28" si="183">MAX(BA28-BC28,0)</f>
        <v>0</v>
      </c>
      <c r="BE28" s="20"/>
      <c r="BF28" s="19"/>
      <c r="BG28" s="19">
        <f t="shared" ref="BG28" si="184">MAX(BD28-BF28,0)</f>
        <v>0</v>
      </c>
      <c r="BH28" s="20"/>
      <c r="BI28" s="19"/>
      <c r="BJ28" s="19">
        <f t="shared" ref="BJ28" si="185">MAX(BG28-BI28,0)</f>
        <v>0</v>
      </c>
      <c r="BK28" s="20"/>
      <c r="BL28" s="19"/>
      <c r="BM28" s="19">
        <f t="shared" ref="BM28" si="186">MAX(BJ28-BL28,0)</f>
        <v>0</v>
      </c>
      <c r="BN28" s="20"/>
      <c r="BO28" s="19"/>
      <c r="BP28" s="19">
        <f t="shared" ref="BP28" si="187">MAX(BM28-BO28,0)</f>
        <v>0</v>
      </c>
      <c r="BQ28" s="20"/>
      <c r="BR28" s="19"/>
      <c r="BS28" s="19">
        <f t="shared" ref="BS28" si="188">MAX(BP28-BR28,0)</f>
        <v>0</v>
      </c>
      <c r="BT28" s="20"/>
      <c r="BU28" s="19"/>
      <c r="BV28" s="19">
        <f t="shared" ref="BV28" si="189">MAX(BS28-BU28,0)</f>
        <v>0</v>
      </c>
      <c r="BW28" s="20"/>
      <c r="BX28" s="19"/>
      <c r="BY28" s="19">
        <f t="shared" ref="BY28" si="190">MAX(BV28-BX28,0)</f>
        <v>0</v>
      </c>
      <c r="BZ28" s="20"/>
      <c r="CA28" s="19"/>
      <c r="CB28" s="19">
        <f t="shared" ref="CB28" si="191">MAX(BY28-CA28,0)</f>
        <v>0</v>
      </c>
      <c r="CC28" s="20"/>
      <c r="CD28" s="21"/>
      <c r="CE28" s="22"/>
    </row>
    <row r="29" spans="1:83" x14ac:dyDescent="0.25">
      <c r="A29" s="13"/>
      <c r="B29" s="13"/>
      <c r="C29" s="13"/>
      <c r="D29" s="14"/>
      <c r="E29" s="135"/>
      <c r="F29" s="15"/>
      <c r="G29" s="16">
        <f t="shared" ca="1" si="23"/>
        <v>0</v>
      </c>
      <c r="H29" s="17"/>
      <c r="I29" s="18"/>
      <c r="J29" s="19"/>
      <c r="K29" s="19">
        <f t="shared" si="144"/>
        <v>0</v>
      </c>
      <c r="L29" s="20"/>
      <c r="M29" s="19"/>
      <c r="N29" s="19">
        <f t="shared" si="145"/>
        <v>0</v>
      </c>
      <c r="O29" s="20"/>
      <c r="P29" s="19"/>
      <c r="Q29" s="19">
        <f t="shared" si="146"/>
        <v>0</v>
      </c>
      <c r="R29" s="20"/>
      <c r="S29" s="19"/>
      <c r="T29" s="19">
        <f t="shared" si="147"/>
        <v>0</v>
      </c>
      <c r="U29" s="20"/>
      <c r="V29" s="19"/>
      <c r="W29" s="19">
        <f t="shared" si="148"/>
        <v>0</v>
      </c>
      <c r="X29" s="20"/>
      <c r="Y29" s="19"/>
      <c r="Z29" s="19">
        <f t="shared" si="149"/>
        <v>0</v>
      </c>
      <c r="AA29" s="20"/>
      <c r="AB29" s="19"/>
      <c r="AC29" s="19">
        <f t="shared" si="150"/>
        <v>0</v>
      </c>
      <c r="AD29" s="20"/>
      <c r="AE29" s="19"/>
      <c r="AF29" s="19">
        <f t="shared" si="151"/>
        <v>0</v>
      </c>
      <c r="AG29" s="20"/>
      <c r="AH29" s="19"/>
      <c r="AI29" s="19">
        <f t="shared" si="152"/>
        <v>0</v>
      </c>
      <c r="AJ29" s="20"/>
      <c r="AK29" s="19"/>
      <c r="AL29" s="19">
        <f t="shared" si="153"/>
        <v>0</v>
      </c>
      <c r="AM29" s="20"/>
      <c r="AN29" s="19"/>
      <c r="AO29" s="19">
        <f t="shared" si="154"/>
        <v>0</v>
      </c>
      <c r="AP29" s="20"/>
      <c r="AQ29" s="19"/>
      <c r="AR29" s="19">
        <f t="shared" si="155"/>
        <v>0</v>
      </c>
      <c r="AS29" s="20"/>
      <c r="AT29" s="19"/>
      <c r="AU29" s="19">
        <f t="shared" si="156"/>
        <v>0</v>
      </c>
      <c r="AV29" s="20"/>
      <c r="AW29" s="19"/>
      <c r="AX29" s="19">
        <f t="shared" si="157"/>
        <v>0</v>
      </c>
      <c r="AY29" s="20"/>
      <c r="AZ29" s="19"/>
      <c r="BA29" s="19">
        <f t="shared" si="158"/>
        <v>0</v>
      </c>
      <c r="BB29" s="20"/>
      <c r="BC29" s="19"/>
      <c r="BD29" s="19">
        <f t="shared" si="159"/>
        <v>0</v>
      </c>
      <c r="BE29" s="20"/>
      <c r="BF29" s="19"/>
      <c r="BG29" s="19">
        <f t="shared" si="160"/>
        <v>0</v>
      </c>
      <c r="BH29" s="20"/>
      <c r="BI29" s="19"/>
      <c r="BJ29" s="19">
        <f t="shared" si="161"/>
        <v>0</v>
      </c>
      <c r="BK29" s="20"/>
      <c r="BL29" s="19"/>
      <c r="BM29" s="19">
        <f t="shared" si="162"/>
        <v>0</v>
      </c>
      <c r="BN29" s="20"/>
      <c r="BO29" s="19"/>
      <c r="BP29" s="19">
        <f t="shared" si="163"/>
        <v>0</v>
      </c>
      <c r="BQ29" s="20"/>
      <c r="BR29" s="19"/>
      <c r="BS29" s="19">
        <f t="shared" si="164"/>
        <v>0</v>
      </c>
      <c r="BT29" s="20"/>
      <c r="BU29" s="19"/>
      <c r="BV29" s="19">
        <f t="shared" si="165"/>
        <v>0</v>
      </c>
      <c r="BW29" s="20"/>
      <c r="BX29" s="19"/>
      <c r="BY29" s="19">
        <f t="shared" si="166"/>
        <v>0</v>
      </c>
      <c r="BZ29" s="20"/>
      <c r="CA29" s="19"/>
      <c r="CB29" s="19">
        <f t="shared" si="167"/>
        <v>0</v>
      </c>
      <c r="CC29" s="20"/>
      <c r="CD29" s="21"/>
      <c r="CE29" s="22"/>
    </row>
    <row r="30" spans="1:83" ht="10.199999999999999" hidden="1" customHeight="1" x14ac:dyDescent="0.25">
      <c r="A30" s="13"/>
      <c r="B30" s="13"/>
      <c r="C30" s="13"/>
      <c r="D30" s="14"/>
      <c r="E30" s="135"/>
      <c r="F30" s="15"/>
      <c r="G30" s="16">
        <f t="shared" ca="1" si="23"/>
        <v>0</v>
      </c>
      <c r="H30" s="17"/>
      <c r="I30" s="18"/>
      <c r="J30" s="19"/>
      <c r="K30" s="19">
        <f t="shared" si="24"/>
        <v>0</v>
      </c>
      <c r="L30" s="20"/>
      <c r="M30" s="19"/>
      <c r="N30" s="19">
        <f t="shared" si="25"/>
        <v>0</v>
      </c>
      <c r="O30" s="20"/>
      <c r="P30" s="19"/>
      <c r="Q30" s="19">
        <f t="shared" si="26"/>
        <v>0</v>
      </c>
      <c r="R30" s="20"/>
      <c r="S30" s="19"/>
      <c r="T30" s="19">
        <f t="shared" si="27"/>
        <v>0</v>
      </c>
      <c r="U30" s="20"/>
      <c r="V30" s="19"/>
      <c r="W30" s="19">
        <f t="shared" si="28"/>
        <v>0</v>
      </c>
      <c r="X30" s="20"/>
      <c r="Y30" s="19"/>
      <c r="Z30" s="19">
        <f t="shared" si="29"/>
        <v>0</v>
      </c>
      <c r="AA30" s="20"/>
      <c r="AB30" s="19"/>
      <c r="AC30" s="19">
        <f t="shared" si="30"/>
        <v>0</v>
      </c>
      <c r="AD30" s="20"/>
      <c r="AE30" s="19"/>
      <c r="AF30" s="19">
        <f t="shared" si="31"/>
        <v>0</v>
      </c>
      <c r="AG30" s="20"/>
      <c r="AH30" s="19"/>
      <c r="AI30" s="19">
        <f t="shared" si="32"/>
        <v>0</v>
      </c>
      <c r="AJ30" s="20"/>
      <c r="AK30" s="19"/>
      <c r="AL30" s="19">
        <f t="shared" si="33"/>
        <v>0</v>
      </c>
      <c r="AM30" s="20"/>
      <c r="AN30" s="19"/>
      <c r="AO30" s="19">
        <f t="shared" si="34"/>
        <v>0</v>
      </c>
      <c r="AP30" s="20"/>
      <c r="AQ30" s="19"/>
      <c r="AR30" s="19">
        <f t="shared" si="35"/>
        <v>0</v>
      </c>
      <c r="AS30" s="20"/>
      <c r="AT30" s="19"/>
      <c r="AU30" s="19">
        <f t="shared" si="36"/>
        <v>0</v>
      </c>
      <c r="AV30" s="20"/>
      <c r="AW30" s="19"/>
      <c r="AX30" s="19">
        <f t="shared" si="37"/>
        <v>0</v>
      </c>
      <c r="AY30" s="20"/>
      <c r="AZ30" s="19"/>
      <c r="BA30" s="19"/>
      <c r="BB30" s="20"/>
      <c r="BC30" s="19"/>
      <c r="BD30" s="19">
        <f t="shared" si="39"/>
        <v>0</v>
      </c>
      <c r="BE30" s="20"/>
      <c r="BF30" s="19"/>
      <c r="BG30" s="19">
        <f t="shared" si="40"/>
        <v>0</v>
      </c>
      <c r="BH30" s="20"/>
      <c r="BI30" s="19"/>
      <c r="BJ30" s="19">
        <f t="shared" si="41"/>
        <v>0</v>
      </c>
      <c r="BK30" s="20"/>
      <c r="BL30" s="19"/>
      <c r="BM30" s="19">
        <f t="shared" si="42"/>
        <v>0</v>
      </c>
      <c r="BN30" s="20"/>
      <c r="BO30" s="19"/>
      <c r="BP30" s="19">
        <f t="shared" si="43"/>
        <v>0</v>
      </c>
      <c r="BQ30" s="20"/>
      <c r="BR30" s="19"/>
      <c r="BS30" s="19">
        <f t="shared" si="44"/>
        <v>0</v>
      </c>
      <c r="BT30" s="20"/>
      <c r="BU30" s="19"/>
      <c r="BV30" s="19">
        <f t="shared" si="45"/>
        <v>0</v>
      </c>
      <c r="BW30" s="20"/>
      <c r="BX30" s="19"/>
      <c r="BY30" s="19">
        <f t="shared" si="46"/>
        <v>0</v>
      </c>
      <c r="BZ30" s="20"/>
      <c r="CA30" s="19"/>
      <c r="CB30" s="19">
        <f t="shared" si="47"/>
        <v>0</v>
      </c>
      <c r="CC30" s="20"/>
      <c r="CD30" s="21"/>
      <c r="CE30" s="22"/>
    </row>
    <row r="31" spans="1:83" ht="10.199999999999999" hidden="1" customHeight="1" x14ac:dyDescent="0.25">
      <c r="A31" s="13"/>
      <c r="B31" s="13"/>
      <c r="C31" s="13"/>
      <c r="D31" s="14"/>
      <c r="E31" s="135"/>
      <c r="F31" s="15"/>
      <c r="G31" s="16">
        <f t="shared" ca="1" si="23"/>
        <v>0</v>
      </c>
      <c r="H31" s="17"/>
      <c r="I31" s="18"/>
      <c r="J31" s="19"/>
      <c r="K31" s="19">
        <f t="shared" si="24"/>
        <v>0</v>
      </c>
      <c r="L31" s="20"/>
      <c r="M31" s="19"/>
      <c r="N31" s="19">
        <f t="shared" si="25"/>
        <v>0</v>
      </c>
      <c r="O31" s="20"/>
      <c r="P31" s="19"/>
      <c r="Q31" s="19">
        <f t="shared" si="26"/>
        <v>0</v>
      </c>
      <c r="R31" s="20"/>
      <c r="S31" s="19"/>
      <c r="T31" s="19">
        <f t="shared" si="27"/>
        <v>0</v>
      </c>
      <c r="U31" s="20"/>
      <c r="V31" s="19"/>
      <c r="W31" s="19">
        <f t="shared" si="28"/>
        <v>0</v>
      </c>
      <c r="X31" s="20"/>
      <c r="Y31" s="19"/>
      <c r="Z31" s="19">
        <f t="shared" si="29"/>
        <v>0</v>
      </c>
      <c r="AA31" s="20"/>
      <c r="AB31" s="19"/>
      <c r="AC31" s="19">
        <f t="shared" si="30"/>
        <v>0</v>
      </c>
      <c r="AD31" s="20"/>
      <c r="AE31" s="19"/>
      <c r="AF31" s="19">
        <f t="shared" si="31"/>
        <v>0</v>
      </c>
      <c r="AG31" s="20"/>
      <c r="AH31" s="19"/>
      <c r="AI31" s="19">
        <f t="shared" si="32"/>
        <v>0</v>
      </c>
      <c r="AJ31" s="20"/>
      <c r="AK31" s="19"/>
      <c r="AL31" s="19">
        <f t="shared" si="33"/>
        <v>0</v>
      </c>
      <c r="AM31" s="20"/>
      <c r="AN31" s="19"/>
      <c r="AO31" s="19">
        <f t="shared" si="34"/>
        <v>0</v>
      </c>
      <c r="AP31" s="20"/>
      <c r="AQ31" s="19"/>
      <c r="AR31" s="19">
        <f t="shared" si="35"/>
        <v>0</v>
      </c>
      <c r="AS31" s="20"/>
      <c r="AT31" s="19"/>
      <c r="AU31" s="19">
        <f t="shared" si="36"/>
        <v>0</v>
      </c>
      <c r="AV31" s="20"/>
      <c r="AW31" s="19"/>
      <c r="AX31" s="19">
        <f t="shared" si="37"/>
        <v>0</v>
      </c>
      <c r="AY31" s="20"/>
      <c r="AZ31" s="19"/>
      <c r="BA31" s="19"/>
      <c r="BB31" s="20"/>
      <c r="BC31" s="19"/>
      <c r="BD31" s="19">
        <f t="shared" si="39"/>
        <v>0</v>
      </c>
      <c r="BE31" s="20"/>
      <c r="BF31" s="19"/>
      <c r="BG31" s="19">
        <f t="shared" si="40"/>
        <v>0</v>
      </c>
      <c r="BH31" s="20"/>
      <c r="BI31" s="19"/>
      <c r="BJ31" s="19">
        <f t="shared" si="41"/>
        <v>0</v>
      </c>
      <c r="BK31" s="20"/>
      <c r="BL31" s="19"/>
      <c r="BM31" s="19">
        <f t="shared" si="42"/>
        <v>0</v>
      </c>
      <c r="BN31" s="20"/>
      <c r="BO31" s="19"/>
      <c r="BP31" s="19">
        <f t="shared" si="43"/>
        <v>0</v>
      </c>
      <c r="BQ31" s="20"/>
      <c r="BR31" s="19"/>
      <c r="BS31" s="19">
        <f t="shared" si="44"/>
        <v>0</v>
      </c>
      <c r="BT31" s="20"/>
      <c r="BU31" s="19"/>
      <c r="BV31" s="19">
        <f t="shared" si="45"/>
        <v>0</v>
      </c>
      <c r="BW31" s="20"/>
      <c r="BX31" s="19"/>
      <c r="BY31" s="19">
        <f t="shared" si="46"/>
        <v>0</v>
      </c>
      <c r="BZ31" s="20"/>
      <c r="CA31" s="19"/>
      <c r="CB31" s="19">
        <f t="shared" si="47"/>
        <v>0</v>
      </c>
      <c r="CC31" s="20"/>
      <c r="CD31" s="21"/>
      <c r="CE31" s="22"/>
    </row>
    <row r="32" spans="1:83" ht="10.199999999999999" hidden="1" customHeight="1" x14ac:dyDescent="0.25">
      <c r="A32" s="13"/>
      <c r="B32" s="13"/>
      <c r="C32" s="13"/>
      <c r="D32" s="14"/>
      <c r="E32" s="135"/>
      <c r="F32" s="15"/>
      <c r="G32" s="16">
        <f t="shared" ca="1" si="23"/>
        <v>0</v>
      </c>
      <c r="H32" s="17"/>
      <c r="I32" s="18"/>
      <c r="J32" s="19"/>
      <c r="K32" s="19">
        <f t="shared" si="24"/>
        <v>0</v>
      </c>
      <c r="L32" s="20"/>
      <c r="M32" s="19"/>
      <c r="N32" s="19">
        <f t="shared" si="25"/>
        <v>0</v>
      </c>
      <c r="O32" s="20"/>
      <c r="P32" s="19"/>
      <c r="Q32" s="19">
        <f t="shared" si="26"/>
        <v>0</v>
      </c>
      <c r="R32" s="20"/>
      <c r="S32" s="19"/>
      <c r="T32" s="19">
        <f t="shared" si="27"/>
        <v>0</v>
      </c>
      <c r="U32" s="20"/>
      <c r="V32" s="19"/>
      <c r="W32" s="19">
        <f t="shared" si="28"/>
        <v>0</v>
      </c>
      <c r="X32" s="20"/>
      <c r="Y32" s="19"/>
      <c r="Z32" s="19">
        <f t="shared" si="29"/>
        <v>0</v>
      </c>
      <c r="AA32" s="20"/>
      <c r="AB32" s="19"/>
      <c r="AC32" s="19">
        <f t="shared" si="30"/>
        <v>0</v>
      </c>
      <c r="AD32" s="20"/>
      <c r="AE32" s="19"/>
      <c r="AF32" s="19">
        <f t="shared" si="31"/>
        <v>0</v>
      </c>
      <c r="AG32" s="20"/>
      <c r="AH32" s="19"/>
      <c r="AI32" s="19">
        <f t="shared" si="32"/>
        <v>0</v>
      </c>
      <c r="AJ32" s="20"/>
      <c r="AK32" s="19"/>
      <c r="AL32" s="19">
        <f t="shared" si="33"/>
        <v>0</v>
      </c>
      <c r="AM32" s="20"/>
      <c r="AN32" s="19"/>
      <c r="AO32" s="19">
        <f t="shared" si="34"/>
        <v>0</v>
      </c>
      <c r="AP32" s="20"/>
      <c r="AQ32" s="19"/>
      <c r="AR32" s="19">
        <f t="shared" si="35"/>
        <v>0</v>
      </c>
      <c r="AS32" s="20"/>
      <c r="AT32" s="19"/>
      <c r="AU32" s="19">
        <f t="shared" si="36"/>
        <v>0</v>
      </c>
      <c r="AV32" s="20"/>
      <c r="AW32" s="19"/>
      <c r="AX32" s="19">
        <f t="shared" si="37"/>
        <v>0</v>
      </c>
      <c r="AY32" s="20"/>
      <c r="AZ32" s="19"/>
      <c r="BA32" s="19"/>
      <c r="BB32" s="20"/>
      <c r="BC32" s="19"/>
      <c r="BD32" s="19">
        <f t="shared" si="39"/>
        <v>0</v>
      </c>
      <c r="BE32" s="20"/>
      <c r="BF32" s="19"/>
      <c r="BG32" s="19">
        <f t="shared" si="40"/>
        <v>0</v>
      </c>
      <c r="BH32" s="20"/>
      <c r="BI32" s="19"/>
      <c r="BJ32" s="19">
        <f t="shared" si="41"/>
        <v>0</v>
      </c>
      <c r="BK32" s="20"/>
      <c r="BL32" s="19"/>
      <c r="BM32" s="19">
        <f t="shared" si="42"/>
        <v>0</v>
      </c>
      <c r="BN32" s="20"/>
      <c r="BO32" s="19"/>
      <c r="BP32" s="19">
        <f t="shared" si="43"/>
        <v>0</v>
      </c>
      <c r="BQ32" s="20"/>
      <c r="BR32" s="19"/>
      <c r="BS32" s="19">
        <f t="shared" si="44"/>
        <v>0</v>
      </c>
      <c r="BT32" s="20"/>
      <c r="BU32" s="19"/>
      <c r="BV32" s="19">
        <f t="shared" si="45"/>
        <v>0</v>
      </c>
      <c r="BW32" s="20"/>
      <c r="BX32" s="19"/>
      <c r="BY32" s="19">
        <f t="shared" si="46"/>
        <v>0</v>
      </c>
      <c r="BZ32" s="20"/>
      <c r="CA32" s="19"/>
      <c r="CB32" s="19">
        <f t="shared" si="47"/>
        <v>0</v>
      </c>
      <c r="CC32" s="20"/>
      <c r="CD32" s="21"/>
      <c r="CE32" s="22"/>
    </row>
    <row r="33" spans="1:83" ht="10.199999999999999" hidden="1" customHeight="1" x14ac:dyDescent="0.25">
      <c r="A33" s="13"/>
      <c r="B33" s="13"/>
      <c r="C33" s="13"/>
      <c r="D33" s="14"/>
      <c r="E33" s="135"/>
      <c r="F33" s="15"/>
      <c r="G33" s="16">
        <f t="shared" ca="1" si="23"/>
        <v>0</v>
      </c>
      <c r="H33" s="17"/>
      <c r="I33" s="18"/>
      <c r="J33" s="19"/>
      <c r="K33" s="19">
        <f t="shared" si="24"/>
        <v>0</v>
      </c>
      <c r="L33" s="20"/>
      <c r="M33" s="19"/>
      <c r="N33" s="19">
        <f t="shared" si="25"/>
        <v>0</v>
      </c>
      <c r="O33" s="20"/>
      <c r="P33" s="19"/>
      <c r="Q33" s="19">
        <f t="shared" si="26"/>
        <v>0</v>
      </c>
      <c r="R33" s="20"/>
      <c r="S33" s="19"/>
      <c r="T33" s="19">
        <f t="shared" si="27"/>
        <v>0</v>
      </c>
      <c r="U33" s="20"/>
      <c r="V33" s="19"/>
      <c r="W33" s="19">
        <f t="shared" si="28"/>
        <v>0</v>
      </c>
      <c r="X33" s="20"/>
      <c r="Y33" s="19"/>
      <c r="Z33" s="19">
        <f t="shared" si="29"/>
        <v>0</v>
      </c>
      <c r="AA33" s="20"/>
      <c r="AB33" s="19"/>
      <c r="AC33" s="19">
        <f t="shared" si="30"/>
        <v>0</v>
      </c>
      <c r="AD33" s="20"/>
      <c r="AE33" s="19"/>
      <c r="AF33" s="19">
        <f t="shared" si="31"/>
        <v>0</v>
      </c>
      <c r="AG33" s="20"/>
      <c r="AH33" s="19"/>
      <c r="AI33" s="19">
        <f t="shared" si="32"/>
        <v>0</v>
      </c>
      <c r="AJ33" s="20"/>
      <c r="AK33" s="19"/>
      <c r="AL33" s="19">
        <f t="shared" si="33"/>
        <v>0</v>
      </c>
      <c r="AM33" s="20"/>
      <c r="AN33" s="19"/>
      <c r="AO33" s="19">
        <f t="shared" si="34"/>
        <v>0</v>
      </c>
      <c r="AP33" s="20"/>
      <c r="AQ33" s="19"/>
      <c r="AR33" s="19">
        <f t="shared" si="35"/>
        <v>0</v>
      </c>
      <c r="AS33" s="20"/>
      <c r="AT33" s="19"/>
      <c r="AU33" s="19">
        <f t="shared" si="36"/>
        <v>0</v>
      </c>
      <c r="AV33" s="20"/>
      <c r="AW33" s="19"/>
      <c r="AX33" s="19">
        <f t="shared" si="37"/>
        <v>0</v>
      </c>
      <c r="AY33" s="20"/>
      <c r="AZ33" s="19"/>
      <c r="BA33" s="19"/>
      <c r="BB33" s="20"/>
      <c r="BC33" s="19"/>
      <c r="BD33" s="19">
        <f t="shared" si="39"/>
        <v>0</v>
      </c>
      <c r="BE33" s="20"/>
      <c r="BF33" s="19"/>
      <c r="BG33" s="19">
        <f t="shared" si="40"/>
        <v>0</v>
      </c>
      <c r="BH33" s="20"/>
      <c r="BI33" s="19"/>
      <c r="BJ33" s="19">
        <f t="shared" si="41"/>
        <v>0</v>
      </c>
      <c r="BK33" s="20"/>
      <c r="BL33" s="19"/>
      <c r="BM33" s="19">
        <f t="shared" si="42"/>
        <v>0</v>
      </c>
      <c r="BN33" s="20"/>
      <c r="BO33" s="19"/>
      <c r="BP33" s="19">
        <f t="shared" si="43"/>
        <v>0</v>
      </c>
      <c r="BQ33" s="20"/>
      <c r="BR33" s="19"/>
      <c r="BS33" s="19">
        <f t="shared" si="44"/>
        <v>0</v>
      </c>
      <c r="BT33" s="20"/>
      <c r="BU33" s="19"/>
      <c r="BV33" s="19">
        <f t="shared" si="45"/>
        <v>0</v>
      </c>
      <c r="BW33" s="20"/>
      <c r="BX33" s="19"/>
      <c r="BY33" s="19">
        <f t="shared" si="46"/>
        <v>0</v>
      </c>
      <c r="BZ33" s="20"/>
      <c r="CA33" s="19"/>
      <c r="CB33" s="19">
        <f t="shared" si="47"/>
        <v>0</v>
      </c>
      <c r="CC33" s="20"/>
      <c r="CD33" s="21"/>
      <c r="CE33" s="22"/>
    </row>
    <row r="34" spans="1:83" ht="10.199999999999999" hidden="1" customHeight="1" x14ac:dyDescent="0.25">
      <c r="A34" s="13"/>
      <c r="B34" s="13"/>
      <c r="C34" s="13"/>
      <c r="D34" s="14"/>
      <c r="E34" s="135"/>
      <c r="F34" s="15"/>
      <c r="G34" s="16">
        <f t="shared" ca="1" si="23"/>
        <v>0</v>
      </c>
      <c r="H34" s="17"/>
      <c r="I34" s="18"/>
      <c r="J34" s="19"/>
      <c r="K34" s="19">
        <f t="shared" si="24"/>
        <v>0</v>
      </c>
      <c r="L34" s="20"/>
      <c r="M34" s="19"/>
      <c r="N34" s="19">
        <f t="shared" si="25"/>
        <v>0</v>
      </c>
      <c r="O34" s="20"/>
      <c r="P34" s="19"/>
      <c r="Q34" s="19">
        <f t="shared" si="26"/>
        <v>0</v>
      </c>
      <c r="R34" s="20"/>
      <c r="S34" s="19"/>
      <c r="T34" s="19">
        <f t="shared" si="27"/>
        <v>0</v>
      </c>
      <c r="U34" s="20"/>
      <c r="V34" s="19"/>
      <c r="W34" s="19">
        <f t="shared" si="28"/>
        <v>0</v>
      </c>
      <c r="X34" s="20"/>
      <c r="Y34" s="19"/>
      <c r="Z34" s="19">
        <f t="shared" si="29"/>
        <v>0</v>
      </c>
      <c r="AA34" s="20"/>
      <c r="AB34" s="19"/>
      <c r="AC34" s="19">
        <f t="shared" si="30"/>
        <v>0</v>
      </c>
      <c r="AD34" s="20"/>
      <c r="AE34" s="19"/>
      <c r="AF34" s="19">
        <f t="shared" si="31"/>
        <v>0</v>
      </c>
      <c r="AG34" s="20"/>
      <c r="AH34" s="19"/>
      <c r="AI34" s="19">
        <f t="shared" si="32"/>
        <v>0</v>
      </c>
      <c r="AJ34" s="20"/>
      <c r="AK34" s="19"/>
      <c r="AL34" s="19">
        <f t="shared" si="33"/>
        <v>0</v>
      </c>
      <c r="AM34" s="20"/>
      <c r="AN34" s="19"/>
      <c r="AO34" s="19">
        <f t="shared" si="34"/>
        <v>0</v>
      </c>
      <c r="AP34" s="20"/>
      <c r="AQ34" s="19"/>
      <c r="AR34" s="19">
        <f t="shared" si="35"/>
        <v>0</v>
      </c>
      <c r="AS34" s="20"/>
      <c r="AT34" s="19"/>
      <c r="AU34" s="19">
        <f t="shared" si="36"/>
        <v>0</v>
      </c>
      <c r="AV34" s="20"/>
      <c r="AW34" s="19"/>
      <c r="AX34" s="19">
        <f t="shared" si="37"/>
        <v>0</v>
      </c>
      <c r="AY34" s="20"/>
      <c r="AZ34" s="19"/>
      <c r="BA34" s="19"/>
      <c r="BB34" s="20"/>
      <c r="BC34" s="19"/>
      <c r="BD34" s="19">
        <f t="shared" si="39"/>
        <v>0</v>
      </c>
      <c r="BE34" s="20"/>
      <c r="BF34" s="19"/>
      <c r="BG34" s="19">
        <f t="shared" si="40"/>
        <v>0</v>
      </c>
      <c r="BH34" s="20"/>
      <c r="BI34" s="19"/>
      <c r="BJ34" s="19">
        <f t="shared" si="41"/>
        <v>0</v>
      </c>
      <c r="BK34" s="20"/>
      <c r="BL34" s="19"/>
      <c r="BM34" s="19">
        <f t="shared" si="42"/>
        <v>0</v>
      </c>
      <c r="BN34" s="20"/>
      <c r="BO34" s="19"/>
      <c r="BP34" s="19">
        <f t="shared" si="43"/>
        <v>0</v>
      </c>
      <c r="BQ34" s="20"/>
      <c r="BR34" s="19"/>
      <c r="BS34" s="19">
        <f t="shared" si="44"/>
        <v>0</v>
      </c>
      <c r="BT34" s="20"/>
      <c r="BU34" s="19"/>
      <c r="BV34" s="19">
        <f t="shared" si="45"/>
        <v>0</v>
      </c>
      <c r="BW34" s="20"/>
      <c r="BX34" s="19"/>
      <c r="BY34" s="19">
        <f t="shared" si="46"/>
        <v>0</v>
      </c>
      <c r="BZ34" s="20"/>
      <c r="CA34" s="19"/>
      <c r="CB34" s="19">
        <f t="shared" si="47"/>
        <v>0</v>
      </c>
      <c r="CC34" s="20"/>
      <c r="CD34" s="21"/>
      <c r="CE34" s="22"/>
    </row>
    <row r="35" spans="1:83" ht="10.199999999999999" hidden="1" customHeight="1" x14ac:dyDescent="0.25">
      <c r="A35" s="13"/>
      <c r="B35" s="13"/>
      <c r="C35" s="13"/>
      <c r="D35" s="14"/>
      <c r="E35" s="135"/>
      <c r="F35" s="15"/>
      <c r="G35" s="16">
        <f t="shared" ca="1" si="23"/>
        <v>0</v>
      </c>
      <c r="H35" s="17"/>
      <c r="I35" s="18"/>
      <c r="J35" s="19"/>
      <c r="K35" s="19">
        <f t="shared" si="24"/>
        <v>0</v>
      </c>
      <c r="L35" s="20"/>
      <c r="M35" s="19"/>
      <c r="N35" s="19">
        <f t="shared" si="25"/>
        <v>0</v>
      </c>
      <c r="O35" s="20"/>
      <c r="P35" s="19"/>
      <c r="Q35" s="19">
        <f t="shared" si="26"/>
        <v>0</v>
      </c>
      <c r="R35" s="20"/>
      <c r="S35" s="19"/>
      <c r="T35" s="19">
        <f t="shared" si="27"/>
        <v>0</v>
      </c>
      <c r="U35" s="20"/>
      <c r="V35" s="19"/>
      <c r="W35" s="19">
        <f t="shared" si="28"/>
        <v>0</v>
      </c>
      <c r="X35" s="20"/>
      <c r="Y35" s="19"/>
      <c r="Z35" s="19">
        <f t="shared" si="29"/>
        <v>0</v>
      </c>
      <c r="AA35" s="20"/>
      <c r="AB35" s="19"/>
      <c r="AC35" s="19">
        <f t="shared" si="30"/>
        <v>0</v>
      </c>
      <c r="AD35" s="20"/>
      <c r="AE35" s="19"/>
      <c r="AF35" s="19">
        <f t="shared" si="31"/>
        <v>0</v>
      </c>
      <c r="AG35" s="20"/>
      <c r="AH35" s="19"/>
      <c r="AI35" s="19">
        <f t="shared" si="32"/>
        <v>0</v>
      </c>
      <c r="AJ35" s="20"/>
      <c r="AK35" s="19"/>
      <c r="AL35" s="19">
        <f t="shared" si="33"/>
        <v>0</v>
      </c>
      <c r="AM35" s="20"/>
      <c r="AN35" s="19"/>
      <c r="AO35" s="19">
        <f t="shared" si="34"/>
        <v>0</v>
      </c>
      <c r="AP35" s="20"/>
      <c r="AQ35" s="19"/>
      <c r="AR35" s="19">
        <f t="shared" si="35"/>
        <v>0</v>
      </c>
      <c r="AS35" s="20"/>
      <c r="AT35" s="19"/>
      <c r="AU35" s="19">
        <f t="shared" si="36"/>
        <v>0</v>
      </c>
      <c r="AV35" s="20"/>
      <c r="AW35" s="19"/>
      <c r="AX35" s="19">
        <f t="shared" si="37"/>
        <v>0</v>
      </c>
      <c r="AY35" s="20"/>
      <c r="AZ35" s="19"/>
      <c r="BA35" s="19"/>
      <c r="BB35" s="20"/>
      <c r="BC35" s="19"/>
      <c r="BD35" s="19">
        <f t="shared" si="39"/>
        <v>0</v>
      </c>
      <c r="BE35" s="20"/>
      <c r="BF35" s="19"/>
      <c r="BG35" s="19">
        <f t="shared" si="40"/>
        <v>0</v>
      </c>
      <c r="BH35" s="20"/>
      <c r="BI35" s="19"/>
      <c r="BJ35" s="19">
        <f t="shared" si="41"/>
        <v>0</v>
      </c>
      <c r="BK35" s="20"/>
      <c r="BL35" s="19"/>
      <c r="BM35" s="19">
        <f t="shared" si="42"/>
        <v>0</v>
      </c>
      <c r="BN35" s="20"/>
      <c r="BO35" s="19"/>
      <c r="BP35" s="19">
        <f t="shared" si="43"/>
        <v>0</v>
      </c>
      <c r="BQ35" s="20"/>
      <c r="BR35" s="19"/>
      <c r="BS35" s="19">
        <f t="shared" si="44"/>
        <v>0</v>
      </c>
      <c r="BT35" s="20"/>
      <c r="BU35" s="19"/>
      <c r="BV35" s="19">
        <f t="shared" si="45"/>
        <v>0</v>
      </c>
      <c r="BW35" s="20"/>
      <c r="BX35" s="19"/>
      <c r="BY35" s="19">
        <f t="shared" si="46"/>
        <v>0</v>
      </c>
      <c r="BZ35" s="20"/>
      <c r="CA35" s="19"/>
      <c r="CB35" s="19">
        <f t="shared" si="47"/>
        <v>0</v>
      </c>
      <c r="CC35" s="20"/>
      <c r="CD35" s="21"/>
      <c r="CE35" s="22"/>
    </row>
    <row r="36" spans="1:83" ht="10.199999999999999" hidden="1" customHeight="1" x14ac:dyDescent="0.25">
      <c r="A36" s="13"/>
      <c r="B36" s="13"/>
      <c r="C36" s="13"/>
      <c r="D36" s="14"/>
      <c r="E36" s="135"/>
      <c r="F36" s="15"/>
      <c r="G36" s="16">
        <f t="shared" ca="1" si="23"/>
        <v>0</v>
      </c>
      <c r="H36" s="17"/>
      <c r="I36" s="18"/>
      <c r="J36" s="19"/>
      <c r="K36" s="19">
        <f t="shared" si="24"/>
        <v>0</v>
      </c>
      <c r="L36" s="20"/>
      <c r="M36" s="19"/>
      <c r="N36" s="19">
        <f t="shared" si="25"/>
        <v>0</v>
      </c>
      <c r="O36" s="20"/>
      <c r="P36" s="19"/>
      <c r="Q36" s="19">
        <f t="shared" si="26"/>
        <v>0</v>
      </c>
      <c r="R36" s="20"/>
      <c r="S36" s="19"/>
      <c r="T36" s="19">
        <f t="shared" si="27"/>
        <v>0</v>
      </c>
      <c r="U36" s="20"/>
      <c r="V36" s="19"/>
      <c r="W36" s="19">
        <f t="shared" si="28"/>
        <v>0</v>
      </c>
      <c r="X36" s="20"/>
      <c r="Y36" s="19"/>
      <c r="Z36" s="19">
        <f t="shared" si="29"/>
        <v>0</v>
      </c>
      <c r="AA36" s="20"/>
      <c r="AB36" s="19"/>
      <c r="AC36" s="19">
        <f t="shared" si="30"/>
        <v>0</v>
      </c>
      <c r="AD36" s="20"/>
      <c r="AE36" s="19"/>
      <c r="AF36" s="19">
        <f t="shared" si="31"/>
        <v>0</v>
      </c>
      <c r="AG36" s="20"/>
      <c r="AH36" s="19"/>
      <c r="AI36" s="19">
        <f t="shared" si="32"/>
        <v>0</v>
      </c>
      <c r="AJ36" s="20"/>
      <c r="AK36" s="19"/>
      <c r="AL36" s="19">
        <f t="shared" si="33"/>
        <v>0</v>
      </c>
      <c r="AM36" s="20"/>
      <c r="AN36" s="19"/>
      <c r="AO36" s="19">
        <f t="shared" si="34"/>
        <v>0</v>
      </c>
      <c r="AP36" s="20"/>
      <c r="AQ36" s="19"/>
      <c r="AR36" s="19">
        <f t="shared" si="35"/>
        <v>0</v>
      </c>
      <c r="AS36" s="20"/>
      <c r="AT36" s="19"/>
      <c r="AU36" s="19">
        <f t="shared" si="36"/>
        <v>0</v>
      </c>
      <c r="AV36" s="20"/>
      <c r="AW36" s="19"/>
      <c r="AX36" s="19">
        <f t="shared" si="37"/>
        <v>0</v>
      </c>
      <c r="AY36" s="20"/>
      <c r="AZ36" s="19"/>
      <c r="BA36" s="19"/>
      <c r="BB36" s="20"/>
      <c r="BC36" s="19"/>
      <c r="BD36" s="19">
        <f t="shared" si="39"/>
        <v>0</v>
      </c>
      <c r="BE36" s="20"/>
      <c r="BF36" s="19"/>
      <c r="BG36" s="19">
        <f t="shared" si="40"/>
        <v>0</v>
      </c>
      <c r="BH36" s="20"/>
      <c r="BI36" s="19"/>
      <c r="BJ36" s="19">
        <f t="shared" si="41"/>
        <v>0</v>
      </c>
      <c r="BK36" s="20"/>
      <c r="BL36" s="19"/>
      <c r="BM36" s="19">
        <f t="shared" si="42"/>
        <v>0</v>
      </c>
      <c r="BN36" s="20"/>
      <c r="BO36" s="19"/>
      <c r="BP36" s="19">
        <f t="shared" si="43"/>
        <v>0</v>
      </c>
      <c r="BQ36" s="20"/>
      <c r="BR36" s="19"/>
      <c r="BS36" s="19">
        <f t="shared" si="44"/>
        <v>0</v>
      </c>
      <c r="BT36" s="20"/>
      <c r="BU36" s="19"/>
      <c r="BV36" s="19">
        <f t="shared" si="45"/>
        <v>0</v>
      </c>
      <c r="BW36" s="20"/>
      <c r="BX36" s="19"/>
      <c r="BY36" s="19">
        <f t="shared" si="46"/>
        <v>0</v>
      </c>
      <c r="BZ36" s="20"/>
      <c r="CA36" s="19"/>
      <c r="CB36" s="19">
        <f t="shared" si="47"/>
        <v>0</v>
      </c>
      <c r="CC36" s="20"/>
      <c r="CD36" s="21"/>
      <c r="CE36" s="22"/>
    </row>
    <row r="37" spans="1:83" ht="10.199999999999999" hidden="1" customHeight="1" x14ac:dyDescent="0.25">
      <c r="A37" s="13"/>
      <c r="B37" s="13"/>
      <c r="C37" s="13"/>
      <c r="D37" s="14"/>
      <c r="E37" s="135"/>
      <c r="F37" s="15"/>
      <c r="G37" s="16">
        <f t="shared" ca="1" si="23"/>
        <v>0</v>
      </c>
      <c r="H37" s="17"/>
      <c r="I37" s="18"/>
      <c r="J37" s="19"/>
      <c r="K37" s="19">
        <f t="shared" si="24"/>
        <v>0</v>
      </c>
      <c r="L37" s="20"/>
      <c r="M37" s="19"/>
      <c r="N37" s="19">
        <f t="shared" si="25"/>
        <v>0</v>
      </c>
      <c r="O37" s="20"/>
      <c r="P37" s="19"/>
      <c r="Q37" s="19">
        <f t="shared" si="26"/>
        <v>0</v>
      </c>
      <c r="R37" s="20"/>
      <c r="S37" s="19"/>
      <c r="T37" s="19">
        <f t="shared" si="27"/>
        <v>0</v>
      </c>
      <c r="U37" s="20"/>
      <c r="V37" s="19"/>
      <c r="W37" s="19">
        <f t="shared" si="28"/>
        <v>0</v>
      </c>
      <c r="X37" s="20"/>
      <c r="Y37" s="19"/>
      <c r="Z37" s="19">
        <f t="shared" si="29"/>
        <v>0</v>
      </c>
      <c r="AA37" s="20"/>
      <c r="AB37" s="19"/>
      <c r="AC37" s="19">
        <f t="shared" si="30"/>
        <v>0</v>
      </c>
      <c r="AD37" s="20"/>
      <c r="AE37" s="19"/>
      <c r="AF37" s="19">
        <f t="shared" si="31"/>
        <v>0</v>
      </c>
      <c r="AG37" s="20"/>
      <c r="AH37" s="19"/>
      <c r="AI37" s="19">
        <f t="shared" si="32"/>
        <v>0</v>
      </c>
      <c r="AJ37" s="20"/>
      <c r="AK37" s="19"/>
      <c r="AL37" s="19">
        <f t="shared" si="33"/>
        <v>0</v>
      </c>
      <c r="AM37" s="20"/>
      <c r="AN37" s="19"/>
      <c r="AO37" s="19">
        <f t="shared" si="34"/>
        <v>0</v>
      </c>
      <c r="AP37" s="20"/>
      <c r="AQ37" s="19"/>
      <c r="AR37" s="19">
        <f t="shared" si="35"/>
        <v>0</v>
      </c>
      <c r="AS37" s="20"/>
      <c r="AT37" s="19"/>
      <c r="AU37" s="19">
        <f t="shared" si="36"/>
        <v>0</v>
      </c>
      <c r="AV37" s="20"/>
      <c r="AW37" s="19"/>
      <c r="AX37" s="19">
        <f t="shared" si="37"/>
        <v>0</v>
      </c>
      <c r="AY37" s="20"/>
      <c r="AZ37" s="19"/>
      <c r="BA37" s="19"/>
      <c r="BB37" s="20"/>
      <c r="BC37" s="19"/>
      <c r="BD37" s="19">
        <f t="shared" si="39"/>
        <v>0</v>
      </c>
      <c r="BE37" s="20"/>
      <c r="BF37" s="19"/>
      <c r="BG37" s="19">
        <f t="shared" si="40"/>
        <v>0</v>
      </c>
      <c r="BH37" s="20"/>
      <c r="BI37" s="19"/>
      <c r="BJ37" s="19">
        <f t="shared" si="41"/>
        <v>0</v>
      </c>
      <c r="BK37" s="20"/>
      <c r="BL37" s="19"/>
      <c r="BM37" s="19">
        <f t="shared" si="42"/>
        <v>0</v>
      </c>
      <c r="BN37" s="20"/>
      <c r="BO37" s="19"/>
      <c r="BP37" s="19">
        <f t="shared" si="43"/>
        <v>0</v>
      </c>
      <c r="BQ37" s="20"/>
      <c r="BR37" s="19"/>
      <c r="BS37" s="19">
        <f t="shared" si="44"/>
        <v>0</v>
      </c>
      <c r="BT37" s="20"/>
      <c r="BU37" s="19"/>
      <c r="BV37" s="19">
        <f t="shared" si="45"/>
        <v>0</v>
      </c>
      <c r="BW37" s="20"/>
      <c r="BX37" s="19"/>
      <c r="BY37" s="19">
        <f t="shared" si="46"/>
        <v>0</v>
      </c>
      <c r="BZ37" s="20"/>
      <c r="CA37" s="19"/>
      <c r="CB37" s="19">
        <f t="shared" si="47"/>
        <v>0</v>
      </c>
      <c r="CC37" s="20"/>
      <c r="CD37" s="21"/>
      <c r="CE37" s="22"/>
    </row>
    <row r="38" spans="1:83" ht="10.199999999999999" hidden="1" customHeight="1" x14ac:dyDescent="0.25">
      <c r="A38" s="13"/>
      <c r="B38" s="13"/>
      <c r="C38" s="13"/>
      <c r="D38" s="14"/>
      <c r="E38" s="135"/>
      <c r="F38" s="15"/>
      <c r="G38" s="16">
        <f t="shared" ca="1" si="23"/>
        <v>0</v>
      </c>
      <c r="H38" s="17"/>
      <c r="I38" s="18"/>
      <c r="J38" s="19"/>
      <c r="K38" s="19">
        <f t="shared" si="24"/>
        <v>0</v>
      </c>
      <c r="L38" s="20"/>
      <c r="M38" s="19"/>
      <c r="N38" s="19">
        <f t="shared" si="25"/>
        <v>0</v>
      </c>
      <c r="O38" s="20"/>
      <c r="P38" s="19"/>
      <c r="Q38" s="19">
        <f t="shared" si="26"/>
        <v>0</v>
      </c>
      <c r="R38" s="20"/>
      <c r="S38" s="19"/>
      <c r="T38" s="19">
        <f t="shared" si="27"/>
        <v>0</v>
      </c>
      <c r="U38" s="20"/>
      <c r="V38" s="19"/>
      <c r="W38" s="19">
        <f t="shared" si="28"/>
        <v>0</v>
      </c>
      <c r="X38" s="20"/>
      <c r="Y38" s="19"/>
      <c r="Z38" s="19">
        <f t="shared" si="29"/>
        <v>0</v>
      </c>
      <c r="AA38" s="20"/>
      <c r="AB38" s="19"/>
      <c r="AC38" s="19">
        <f t="shared" si="30"/>
        <v>0</v>
      </c>
      <c r="AD38" s="20"/>
      <c r="AE38" s="19"/>
      <c r="AF38" s="19">
        <f t="shared" si="31"/>
        <v>0</v>
      </c>
      <c r="AG38" s="20"/>
      <c r="AH38" s="19"/>
      <c r="AI38" s="19">
        <f t="shared" si="32"/>
        <v>0</v>
      </c>
      <c r="AJ38" s="20"/>
      <c r="AK38" s="19"/>
      <c r="AL38" s="19">
        <f t="shared" si="33"/>
        <v>0</v>
      </c>
      <c r="AM38" s="20"/>
      <c r="AN38" s="19"/>
      <c r="AO38" s="19">
        <f t="shared" si="34"/>
        <v>0</v>
      </c>
      <c r="AP38" s="20"/>
      <c r="AQ38" s="19"/>
      <c r="AR38" s="19">
        <f t="shared" si="35"/>
        <v>0</v>
      </c>
      <c r="AS38" s="20"/>
      <c r="AT38" s="19"/>
      <c r="AU38" s="19">
        <f t="shared" si="36"/>
        <v>0</v>
      </c>
      <c r="AV38" s="20"/>
      <c r="AW38" s="19"/>
      <c r="AX38" s="19">
        <f t="shared" si="37"/>
        <v>0</v>
      </c>
      <c r="AY38" s="20"/>
      <c r="AZ38" s="19"/>
      <c r="BA38" s="19"/>
      <c r="BB38" s="20"/>
      <c r="BC38" s="19"/>
      <c r="BD38" s="19">
        <f t="shared" si="39"/>
        <v>0</v>
      </c>
      <c r="BE38" s="20"/>
      <c r="BF38" s="19"/>
      <c r="BG38" s="19">
        <f t="shared" si="40"/>
        <v>0</v>
      </c>
      <c r="BH38" s="20"/>
      <c r="BI38" s="19"/>
      <c r="BJ38" s="19">
        <f t="shared" si="41"/>
        <v>0</v>
      </c>
      <c r="BK38" s="20"/>
      <c r="BL38" s="19"/>
      <c r="BM38" s="19">
        <f t="shared" si="42"/>
        <v>0</v>
      </c>
      <c r="BN38" s="20"/>
      <c r="BO38" s="19"/>
      <c r="BP38" s="19">
        <f t="shared" si="43"/>
        <v>0</v>
      </c>
      <c r="BQ38" s="20"/>
      <c r="BR38" s="19"/>
      <c r="BS38" s="19">
        <f t="shared" si="44"/>
        <v>0</v>
      </c>
      <c r="BT38" s="20"/>
      <c r="BU38" s="19"/>
      <c r="BV38" s="19">
        <f t="shared" si="45"/>
        <v>0</v>
      </c>
      <c r="BW38" s="20"/>
      <c r="BX38" s="19"/>
      <c r="BY38" s="19">
        <f t="shared" si="46"/>
        <v>0</v>
      </c>
      <c r="BZ38" s="20"/>
      <c r="CA38" s="19"/>
      <c r="CB38" s="19">
        <f t="shared" si="47"/>
        <v>0</v>
      </c>
      <c r="CC38" s="20"/>
      <c r="CD38" s="21"/>
      <c r="CE38" s="22"/>
    </row>
    <row r="39" spans="1:83" ht="10.199999999999999" hidden="1" customHeight="1" x14ac:dyDescent="0.25">
      <c r="A39" s="13"/>
      <c r="B39" s="13"/>
      <c r="C39" s="13"/>
      <c r="D39" s="14"/>
      <c r="E39" s="135"/>
      <c r="F39" s="15"/>
      <c r="G39" s="16">
        <f t="shared" ca="1" si="23"/>
        <v>0</v>
      </c>
      <c r="H39" s="17"/>
      <c r="I39" s="18"/>
      <c r="J39" s="19"/>
      <c r="K39" s="19">
        <f t="shared" si="24"/>
        <v>0</v>
      </c>
      <c r="L39" s="20"/>
      <c r="M39" s="19"/>
      <c r="N39" s="19">
        <f t="shared" si="25"/>
        <v>0</v>
      </c>
      <c r="O39" s="20"/>
      <c r="P39" s="19"/>
      <c r="Q39" s="19">
        <f t="shared" si="26"/>
        <v>0</v>
      </c>
      <c r="R39" s="20"/>
      <c r="S39" s="19"/>
      <c r="T39" s="19">
        <f t="shared" si="27"/>
        <v>0</v>
      </c>
      <c r="U39" s="20"/>
      <c r="V39" s="19"/>
      <c r="W39" s="19">
        <f t="shared" si="28"/>
        <v>0</v>
      </c>
      <c r="X39" s="20"/>
      <c r="Y39" s="19"/>
      <c r="Z39" s="19">
        <f t="shared" si="29"/>
        <v>0</v>
      </c>
      <c r="AA39" s="20"/>
      <c r="AB39" s="19"/>
      <c r="AC39" s="19">
        <f t="shared" si="30"/>
        <v>0</v>
      </c>
      <c r="AD39" s="20"/>
      <c r="AE39" s="19"/>
      <c r="AF39" s="19">
        <f t="shared" si="31"/>
        <v>0</v>
      </c>
      <c r="AG39" s="20"/>
      <c r="AH39" s="19"/>
      <c r="AI39" s="19">
        <f t="shared" si="32"/>
        <v>0</v>
      </c>
      <c r="AJ39" s="20"/>
      <c r="AK39" s="19"/>
      <c r="AL39" s="19">
        <f t="shared" si="33"/>
        <v>0</v>
      </c>
      <c r="AM39" s="20"/>
      <c r="AN39" s="19"/>
      <c r="AO39" s="19">
        <f t="shared" si="34"/>
        <v>0</v>
      </c>
      <c r="AP39" s="20"/>
      <c r="AQ39" s="19"/>
      <c r="AR39" s="19">
        <f t="shared" si="35"/>
        <v>0</v>
      </c>
      <c r="AS39" s="20"/>
      <c r="AT39" s="19"/>
      <c r="AU39" s="19">
        <f t="shared" si="36"/>
        <v>0</v>
      </c>
      <c r="AV39" s="20"/>
      <c r="AW39" s="19"/>
      <c r="AX39" s="19">
        <f t="shared" si="37"/>
        <v>0</v>
      </c>
      <c r="AY39" s="20"/>
      <c r="AZ39" s="19"/>
      <c r="BA39" s="19"/>
      <c r="BB39" s="20"/>
      <c r="BC39" s="19"/>
      <c r="BD39" s="19">
        <f t="shared" si="39"/>
        <v>0</v>
      </c>
      <c r="BE39" s="20"/>
      <c r="BF39" s="19"/>
      <c r="BG39" s="19">
        <f t="shared" si="40"/>
        <v>0</v>
      </c>
      <c r="BH39" s="20"/>
      <c r="BI39" s="19"/>
      <c r="BJ39" s="19">
        <f t="shared" si="41"/>
        <v>0</v>
      </c>
      <c r="BK39" s="20"/>
      <c r="BL39" s="19"/>
      <c r="BM39" s="19">
        <f t="shared" si="42"/>
        <v>0</v>
      </c>
      <c r="BN39" s="20"/>
      <c r="BO39" s="19"/>
      <c r="BP39" s="19">
        <f t="shared" si="43"/>
        <v>0</v>
      </c>
      <c r="BQ39" s="20"/>
      <c r="BR39" s="19"/>
      <c r="BS39" s="19">
        <f t="shared" si="44"/>
        <v>0</v>
      </c>
      <c r="BT39" s="20"/>
      <c r="BU39" s="19"/>
      <c r="BV39" s="19">
        <f t="shared" si="45"/>
        <v>0</v>
      </c>
      <c r="BW39" s="20"/>
      <c r="BX39" s="19"/>
      <c r="BY39" s="19">
        <f t="shared" si="46"/>
        <v>0</v>
      </c>
      <c r="BZ39" s="20"/>
      <c r="CA39" s="19"/>
      <c r="CB39" s="19">
        <f t="shared" si="47"/>
        <v>0</v>
      </c>
      <c r="CC39" s="20"/>
      <c r="CD39" s="21"/>
      <c r="CE39" s="22"/>
    </row>
    <row r="40" spans="1:83" ht="10.199999999999999" hidden="1" customHeight="1" x14ac:dyDescent="0.25">
      <c r="A40" s="13"/>
      <c r="B40" s="13"/>
      <c r="C40" s="13"/>
      <c r="D40" s="14"/>
      <c r="E40" s="135"/>
      <c r="F40" s="15"/>
      <c r="G40" s="16">
        <f t="shared" ca="1" si="23"/>
        <v>0</v>
      </c>
      <c r="H40" s="17"/>
      <c r="I40" s="18"/>
      <c r="J40" s="19"/>
      <c r="K40" s="19">
        <f t="shared" si="24"/>
        <v>0</v>
      </c>
      <c r="L40" s="20"/>
      <c r="M40" s="19"/>
      <c r="N40" s="19">
        <f t="shared" si="25"/>
        <v>0</v>
      </c>
      <c r="O40" s="20"/>
      <c r="P40" s="19"/>
      <c r="Q40" s="19">
        <f t="shared" si="26"/>
        <v>0</v>
      </c>
      <c r="R40" s="20"/>
      <c r="S40" s="19"/>
      <c r="T40" s="19">
        <f t="shared" si="27"/>
        <v>0</v>
      </c>
      <c r="U40" s="20"/>
      <c r="V40" s="19"/>
      <c r="W40" s="19">
        <f t="shared" si="28"/>
        <v>0</v>
      </c>
      <c r="X40" s="20"/>
      <c r="Y40" s="19"/>
      <c r="Z40" s="19">
        <f t="shared" si="29"/>
        <v>0</v>
      </c>
      <c r="AA40" s="20"/>
      <c r="AB40" s="19"/>
      <c r="AC40" s="19">
        <f t="shared" si="30"/>
        <v>0</v>
      </c>
      <c r="AD40" s="20"/>
      <c r="AE40" s="19"/>
      <c r="AF40" s="19">
        <f t="shared" si="31"/>
        <v>0</v>
      </c>
      <c r="AG40" s="20"/>
      <c r="AH40" s="19"/>
      <c r="AI40" s="19">
        <f t="shared" si="32"/>
        <v>0</v>
      </c>
      <c r="AJ40" s="20"/>
      <c r="AK40" s="19"/>
      <c r="AL40" s="19">
        <f t="shared" si="33"/>
        <v>0</v>
      </c>
      <c r="AM40" s="20"/>
      <c r="AN40" s="19"/>
      <c r="AO40" s="19">
        <f t="shared" si="34"/>
        <v>0</v>
      </c>
      <c r="AP40" s="20"/>
      <c r="AQ40" s="19"/>
      <c r="AR40" s="19">
        <f t="shared" si="35"/>
        <v>0</v>
      </c>
      <c r="AS40" s="20"/>
      <c r="AT40" s="19"/>
      <c r="AU40" s="19">
        <f t="shared" si="36"/>
        <v>0</v>
      </c>
      <c r="AV40" s="20"/>
      <c r="AW40" s="19"/>
      <c r="AX40" s="19">
        <f t="shared" si="37"/>
        <v>0</v>
      </c>
      <c r="AY40" s="20"/>
      <c r="AZ40" s="19"/>
      <c r="BA40" s="19"/>
      <c r="BB40" s="20"/>
      <c r="BC40" s="19"/>
      <c r="BD40" s="19">
        <f t="shared" si="39"/>
        <v>0</v>
      </c>
      <c r="BE40" s="20"/>
      <c r="BF40" s="19"/>
      <c r="BG40" s="19">
        <f t="shared" si="40"/>
        <v>0</v>
      </c>
      <c r="BH40" s="20"/>
      <c r="BI40" s="19"/>
      <c r="BJ40" s="19">
        <f t="shared" si="41"/>
        <v>0</v>
      </c>
      <c r="BK40" s="20"/>
      <c r="BL40" s="19"/>
      <c r="BM40" s="19">
        <f t="shared" si="42"/>
        <v>0</v>
      </c>
      <c r="BN40" s="20"/>
      <c r="BO40" s="19"/>
      <c r="BP40" s="19">
        <f t="shared" si="43"/>
        <v>0</v>
      </c>
      <c r="BQ40" s="20"/>
      <c r="BR40" s="19"/>
      <c r="BS40" s="19">
        <f t="shared" si="44"/>
        <v>0</v>
      </c>
      <c r="BT40" s="20"/>
      <c r="BU40" s="19"/>
      <c r="BV40" s="19">
        <f t="shared" si="45"/>
        <v>0</v>
      </c>
      <c r="BW40" s="20"/>
      <c r="BX40" s="19"/>
      <c r="BY40" s="19">
        <f t="shared" si="46"/>
        <v>0</v>
      </c>
      <c r="BZ40" s="20"/>
      <c r="CA40" s="19"/>
      <c r="CB40" s="19">
        <f t="shared" si="47"/>
        <v>0</v>
      </c>
      <c r="CC40" s="20"/>
      <c r="CD40" s="21"/>
      <c r="CE40" s="22"/>
    </row>
    <row r="41" spans="1:83" ht="10.199999999999999" hidden="1" customHeight="1" x14ac:dyDescent="0.25">
      <c r="A41" s="13"/>
      <c r="B41" s="13"/>
      <c r="C41" s="13"/>
      <c r="D41" s="14"/>
      <c r="E41" s="135"/>
      <c r="F41" s="15"/>
      <c r="G41" s="16">
        <f t="shared" ca="1" si="23"/>
        <v>0</v>
      </c>
      <c r="H41" s="17"/>
      <c r="I41" s="18"/>
      <c r="J41" s="19"/>
      <c r="K41" s="19">
        <f t="shared" si="24"/>
        <v>0</v>
      </c>
      <c r="L41" s="20"/>
      <c r="M41" s="19"/>
      <c r="N41" s="19">
        <f t="shared" si="25"/>
        <v>0</v>
      </c>
      <c r="O41" s="20"/>
      <c r="P41" s="19"/>
      <c r="Q41" s="19">
        <f t="shared" si="26"/>
        <v>0</v>
      </c>
      <c r="R41" s="20"/>
      <c r="S41" s="19"/>
      <c r="T41" s="19">
        <f t="shared" si="27"/>
        <v>0</v>
      </c>
      <c r="U41" s="20"/>
      <c r="V41" s="19"/>
      <c r="W41" s="19">
        <f t="shared" si="28"/>
        <v>0</v>
      </c>
      <c r="X41" s="20"/>
      <c r="Y41" s="19"/>
      <c r="Z41" s="19">
        <f t="shared" si="29"/>
        <v>0</v>
      </c>
      <c r="AA41" s="20"/>
      <c r="AB41" s="19"/>
      <c r="AC41" s="19">
        <f t="shared" si="30"/>
        <v>0</v>
      </c>
      <c r="AD41" s="20"/>
      <c r="AE41" s="19"/>
      <c r="AF41" s="19">
        <f t="shared" si="31"/>
        <v>0</v>
      </c>
      <c r="AG41" s="20"/>
      <c r="AH41" s="19"/>
      <c r="AI41" s="19">
        <f t="shared" si="32"/>
        <v>0</v>
      </c>
      <c r="AJ41" s="20"/>
      <c r="AK41" s="19"/>
      <c r="AL41" s="19">
        <f t="shared" si="33"/>
        <v>0</v>
      </c>
      <c r="AM41" s="20"/>
      <c r="AN41" s="19"/>
      <c r="AO41" s="19">
        <f t="shared" si="34"/>
        <v>0</v>
      </c>
      <c r="AP41" s="20"/>
      <c r="AQ41" s="19"/>
      <c r="AR41" s="19">
        <f t="shared" si="35"/>
        <v>0</v>
      </c>
      <c r="AS41" s="20"/>
      <c r="AT41" s="19"/>
      <c r="AU41" s="19">
        <f t="shared" si="36"/>
        <v>0</v>
      </c>
      <c r="AV41" s="20"/>
      <c r="AW41" s="19"/>
      <c r="AX41" s="19">
        <f t="shared" si="37"/>
        <v>0</v>
      </c>
      <c r="AY41" s="20"/>
      <c r="AZ41" s="19"/>
      <c r="BA41" s="19"/>
      <c r="BB41" s="20"/>
      <c r="BC41" s="19"/>
      <c r="BD41" s="19">
        <f t="shared" si="39"/>
        <v>0</v>
      </c>
      <c r="BE41" s="20"/>
      <c r="BF41" s="19"/>
      <c r="BG41" s="19">
        <f t="shared" si="40"/>
        <v>0</v>
      </c>
      <c r="BH41" s="20"/>
      <c r="BI41" s="19"/>
      <c r="BJ41" s="19">
        <f t="shared" si="41"/>
        <v>0</v>
      </c>
      <c r="BK41" s="20"/>
      <c r="BL41" s="19"/>
      <c r="BM41" s="19">
        <f t="shared" si="42"/>
        <v>0</v>
      </c>
      <c r="BN41" s="20"/>
      <c r="BO41" s="19"/>
      <c r="BP41" s="19">
        <f t="shared" si="43"/>
        <v>0</v>
      </c>
      <c r="BQ41" s="20"/>
      <c r="BR41" s="19"/>
      <c r="BS41" s="19">
        <f t="shared" si="44"/>
        <v>0</v>
      </c>
      <c r="BT41" s="20"/>
      <c r="BU41" s="19"/>
      <c r="BV41" s="19">
        <f t="shared" si="45"/>
        <v>0</v>
      </c>
      <c r="BW41" s="20"/>
      <c r="BX41" s="19"/>
      <c r="BY41" s="19">
        <f t="shared" si="46"/>
        <v>0</v>
      </c>
      <c r="BZ41" s="20"/>
      <c r="CA41" s="19"/>
      <c r="CB41" s="19">
        <f t="shared" si="47"/>
        <v>0</v>
      </c>
      <c r="CC41" s="20"/>
      <c r="CD41" s="21"/>
      <c r="CE41" s="22"/>
    </row>
    <row r="42" spans="1:83" ht="10.199999999999999" hidden="1" customHeight="1" x14ac:dyDescent="0.25">
      <c r="A42" s="13"/>
      <c r="B42" s="13"/>
      <c r="C42" s="13"/>
      <c r="D42" s="14"/>
      <c r="E42" s="135"/>
      <c r="F42" s="15"/>
      <c r="G42" s="16">
        <f t="shared" ca="1" si="23"/>
        <v>0</v>
      </c>
      <c r="H42" s="17"/>
      <c r="I42" s="18"/>
      <c r="J42" s="19"/>
      <c r="K42" s="19">
        <f t="shared" si="24"/>
        <v>0</v>
      </c>
      <c r="L42" s="20"/>
      <c r="M42" s="19"/>
      <c r="N42" s="19">
        <f t="shared" si="25"/>
        <v>0</v>
      </c>
      <c r="O42" s="20"/>
      <c r="P42" s="19"/>
      <c r="Q42" s="19">
        <f t="shared" si="26"/>
        <v>0</v>
      </c>
      <c r="R42" s="20"/>
      <c r="S42" s="19"/>
      <c r="T42" s="19">
        <f t="shared" si="27"/>
        <v>0</v>
      </c>
      <c r="U42" s="20"/>
      <c r="V42" s="19"/>
      <c r="W42" s="19">
        <f t="shared" si="28"/>
        <v>0</v>
      </c>
      <c r="X42" s="20"/>
      <c r="Y42" s="19"/>
      <c r="Z42" s="19">
        <f t="shared" si="29"/>
        <v>0</v>
      </c>
      <c r="AA42" s="20"/>
      <c r="AB42" s="19"/>
      <c r="AC42" s="19">
        <f t="shared" si="30"/>
        <v>0</v>
      </c>
      <c r="AD42" s="20"/>
      <c r="AE42" s="19"/>
      <c r="AF42" s="19">
        <f t="shared" si="31"/>
        <v>0</v>
      </c>
      <c r="AG42" s="20"/>
      <c r="AH42" s="19"/>
      <c r="AI42" s="19">
        <f t="shared" si="32"/>
        <v>0</v>
      </c>
      <c r="AJ42" s="20"/>
      <c r="AK42" s="19"/>
      <c r="AL42" s="19">
        <f t="shared" si="33"/>
        <v>0</v>
      </c>
      <c r="AM42" s="20"/>
      <c r="AN42" s="19"/>
      <c r="AO42" s="19">
        <f t="shared" si="34"/>
        <v>0</v>
      </c>
      <c r="AP42" s="20"/>
      <c r="AQ42" s="19"/>
      <c r="AR42" s="19">
        <f t="shared" si="35"/>
        <v>0</v>
      </c>
      <c r="AS42" s="20"/>
      <c r="AT42" s="19"/>
      <c r="AU42" s="19">
        <f t="shared" si="36"/>
        <v>0</v>
      </c>
      <c r="AV42" s="20"/>
      <c r="AW42" s="19"/>
      <c r="AX42" s="19">
        <f t="shared" si="37"/>
        <v>0</v>
      </c>
      <c r="AY42" s="20"/>
      <c r="AZ42" s="19"/>
      <c r="BA42" s="19"/>
      <c r="BB42" s="20"/>
      <c r="BC42" s="19"/>
      <c r="BD42" s="19">
        <f t="shared" si="39"/>
        <v>0</v>
      </c>
      <c r="BE42" s="20"/>
      <c r="BF42" s="19"/>
      <c r="BG42" s="19">
        <f t="shared" si="40"/>
        <v>0</v>
      </c>
      <c r="BH42" s="20"/>
      <c r="BI42" s="19"/>
      <c r="BJ42" s="19">
        <f t="shared" si="41"/>
        <v>0</v>
      </c>
      <c r="BK42" s="20"/>
      <c r="BL42" s="19"/>
      <c r="BM42" s="19">
        <f t="shared" si="42"/>
        <v>0</v>
      </c>
      <c r="BN42" s="20"/>
      <c r="BO42" s="19"/>
      <c r="BP42" s="19">
        <f t="shared" si="43"/>
        <v>0</v>
      </c>
      <c r="BQ42" s="20"/>
      <c r="BR42" s="19"/>
      <c r="BS42" s="19">
        <f t="shared" si="44"/>
        <v>0</v>
      </c>
      <c r="BT42" s="20"/>
      <c r="BU42" s="19"/>
      <c r="BV42" s="19">
        <f t="shared" si="45"/>
        <v>0</v>
      </c>
      <c r="BW42" s="20"/>
      <c r="BX42" s="19"/>
      <c r="BY42" s="19">
        <f t="shared" si="46"/>
        <v>0</v>
      </c>
      <c r="BZ42" s="20"/>
      <c r="CA42" s="19"/>
      <c r="CB42" s="19">
        <f t="shared" si="47"/>
        <v>0</v>
      </c>
      <c r="CC42" s="20"/>
      <c r="CD42" s="21"/>
      <c r="CE42" s="22"/>
    </row>
    <row r="43" spans="1:83" ht="10.199999999999999" hidden="1" customHeight="1" x14ac:dyDescent="0.25">
      <c r="A43" s="13"/>
      <c r="B43" s="13"/>
      <c r="C43" s="13"/>
      <c r="D43" s="14"/>
      <c r="E43" s="135"/>
      <c r="F43" s="15"/>
      <c r="G43" s="16">
        <f t="shared" ca="1" si="23"/>
        <v>0</v>
      </c>
      <c r="H43" s="17"/>
      <c r="I43" s="18"/>
      <c r="J43" s="19"/>
      <c r="K43" s="19">
        <f t="shared" si="24"/>
        <v>0</v>
      </c>
      <c r="L43" s="20"/>
      <c r="M43" s="19"/>
      <c r="N43" s="19">
        <f t="shared" si="25"/>
        <v>0</v>
      </c>
      <c r="O43" s="20"/>
      <c r="P43" s="19"/>
      <c r="Q43" s="19">
        <f t="shared" si="26"/>
        <v>0</v>
      </c>
      <c r="R43" s="20"/>
      <c r="S43" s="19"/>
      <c r="T43" s="19">
        <f t="shared" si="27"/>
        <v>0</v>
      </c>
      <c r="U43" s="20"/>
      <c r="V43" s="19"/>
      <c r="W43" s="19">
        <f t="shared" si="28"/>
        <v>0</v>
      </c>
      <c r="X43" s="20"/>
      <c r="Y43" s="19"/>
      <c r="Z43" s="19">
        <f t="shared" si="29"/>
        <v>0</v>
      </c>
      <c r="AA43" s="20"/>
      <c r="AB43" s="19"/>
      <c r="AC43" s="19">
        <f t="shared" si="30"/>
        <v>0</v>
      </c>
      <c r="AD43" s="20"/>
      <c r="AE43" s="19"/>
      <c r="AF43" s="19">
        <f t="shared" si="31"/>
        <v>0</v>
      </c>
      <c r="AG43" s="20"/>
      <c r="AH43" s="19"/>
      <c r="AI43" s="19">
        <f t="shared" si="32"/>
        <v>0</v>
      </c>
      <c r="AJ43" s="20"/>
      <c r="AK43" s="19"/>
      <c r="AL43" s="19">
        <f t="shared" si="33"/>
        <v>0</v>
      </c>
      <c r="AM43" s="20"/>
      <c r="AN43" s="19"/>
      <c r="AO43" s="19">
        <f t="shared" si="34"/>
        <v>0</v>
      </c>
      <c r="AP43" s="20"/>
      <c r="AQ43" s="19"/>
      <c r="AR43" s="19">
        <f t="shared" si="35"/>
        <v>0</v>
      </c>
      <c r="AS43" s="20"/>
      <c r="AT43" s="19"/>
      <c r="AU43" s="19">
        <f t="shared" si="36"/>
        <v>0</v>
      </c>
      <c r="AV43" s="20"/>
      <c r="AW43" s="19"/>
      <c r="AX43" s="19">
        <f t="shared" si="37"/>
        <v>0</v>
      </c>
      <c r="AY43" s="20"/>
      <c r="AZ43" s="19"/>
      <c r="BA43" s="19"/>
      <c r="BB43" s="20"/>
      <c r="BC43" s="19"/>
      <c r="BD43" s="19">
        <f t="shared" si="39"/>
        <v>0</v>
      </c>
      <c r="BE43" s="20"/>
      <c r="BF43" s="19"/>
      <c r="BG43" s="19">
        <f t="shared" si="40"/>
        <v>0</v>
      </c>
      <c r="BH43" s="20"/>
      <c r="BI43" s="19"/>
      <c r="BJ43" s="19">
        <f t="shared" si="41"/>
        <v>0</v>
      </c>
      <c r="BK43" s="20"/>
      <c r="BL43" s="19"/>
      <c r="BM43" s="19">
        <f t="shared" si="42"/>
        <v>0</v>
      </c>
      <c r="BN43" s="20"/>
      <c r="BO43" s="19"/>
      <c r="BP43" s="19">
        <f t="shared" si="43"/>
        <v>0</v>
      </c>
      <c r="BQ43" s="20"/>
      <c r="BR43" s="19"/>
      <c r="BS43" s="19">
        <f t="shared" si="44"/>
        <v>0</v>
      </c>
      <c r="BT43" s="20"/>
      <c r="BU43" s="19"/>
      <c r="BV43" s="19">
        <f t="shared" si="45"/>
        <v>0</v>
      </c>
      <c r="BW43" s="20"/>
      <c r="BX43" s="19"/>
      <c r="BY43" s="19">
        <f t="shared" si="46"/>
        <v>0</v>
      </c>
      <c r="BZ43" s="20"/>
      <c r="CA43" s="19"/>
      <c r="CB43" s="19">
        <f t="shared" si="47"/>
        <v>0</v>
      </c>
      <c r="CC43" s="20"/>
      <c r="CD43" s="21"/>
      <c r="CE43" s="22"/>
    </row>
    <row r="44" spans="1:83" ht="10.199999999999999" hidden="1" customHeight="1" x14ac:dyDescent="0.25">
      <c r="A44" s="13"/>
      <c r="B44" s="13"/>
      <c r="C44" s="13"/>
      <c r="D44" s="14"/>
      <c r="E44" s="135"/>
      <c r="F44" s="15"/>
      <c r="G44" s="16">
        <f t="shared" ca="1" si="23"/>
        <v>0</v>
      </c>
      <c r="H44" s="17"/>
      <c r="I44" s="18"/>
      <c r="J44" s="19"/>
      <c r="K44" s="19">
        <f t="shared" si="24"/>
        <v>0</v>
      </c>
      <c r="L44" s="20"/>
      <c r="M44" s="19"/>
      <c r="N44" s="19">
        <f t="shared" si="25"/>
        <v>0</v>
      </c>
      <c r="O44" s="20"/>
      <c r="P44" s="19"/>
      <c r="Q44" s="19">
        <f t="shared" si="26"/>
        <v>0</v>
      </c>
      <c r="R44" s="20"/>
      <c r="S44" s="19"/>
      <c r="T44" s="19">
        <f t="shared" si="27"/>
        <v>0</v>
      </c>
      <c r="U44" s="20"/>
      <c r="V44" s="19"/>
      <c r="W44" s="19">
        <f t="shared" si="28"/>
        <v>0</v>
      </c>
      <c r="X44" s="20"/>
      <c r="Y44" s="19"/>
      <c r="Z44" s="19">
        <f t="shared" si="29"/>
        <v>0</v>
      </c>
      <c r="AA44" s="20"/>
      <c r="AB44" s="19"/>
      <c r="AC44" s="19">
        <f t="shared" si="30"/>
        <v>0</v>
      </c>
      <c r="AD44" s="20"/>
      <c r="AE44" s="19"/>
      <c r="AF44" s="19">
        <f t="shared" si="31"/>
        <v>0</v>
      </c>
      <c r="AG44" s="20"/>
      <c r="AH44" s="19"/>
      <c r="AI44" s="19">
        <f t="shared" si="32"/>
        <v>0</v>
      </c>
      <c r="AJ44" s="20"/>
      <c r="AK44" s="19"/>
      <c r="AL44" s="19">
        <f t="shared" si="33"/>
        <v>0</v>
      </c>
      <c r="AM44" s="20"/>
      <c r="AN44" s="19"/>
      <c r="AO44" s="19">
        <f t="shared" si="34"/>
        <v>0</v>
      </c>
      <c r="AP44" s="20"/>
      <c r="AQ44" s="19"/>
      <c r="AR44" s="19">
        <f t="shared" si="35"/>
        <v>0</v>
      </c>
      <c r="AS44" s="20"/>
      <c r="AT44" s="19"/>
      <c r="AU44" s="19">
        <f t="shared" si="36"/>
        <v>0</v>
      </c>
      <c r="AV44" s="20"/>
      <c r="AW44" s="19"/>
      <c r="AX44" s="19">
        <f t="shared" si="37"/>
        <v>0</v>
      </c>
      <c r="AY44" s="20"/>
      <c r="AZ44" s="19"/>
      <c r="BA44" s="19"/>
      <c r="BB44" s="20"/>
      <c r="BC44" s="19"/>
      <c r="BD44" s="19">
        <f t="shared" si="39"/>
        <v>0</v>
      </c>
      <c r="BE44" s="20"/>
      <c r="BF44" s="19"/>
      <c r="BG44" s="19">
        <f t="shared" si="40"/>
        <v>0</v>
      </c>
      <c r="BH44" s="20"/>
      <c r="BI44" s="19"/>
      <c r="BJ44" s="19">
        <f t="shared" si="41"/>
        <v>0</v>
      </c>
      <c r="BK44" s="20"/>
      <c r="BL44" s="19"/>
      <c r="BM44" s="19">
        <f t="shared" si="42"/>
        <v>0</v>
      </c>
      <c r="BN44" s="20"/>
      <c r="BO44" s="19"/>
      <c r="BP44" s="19">
        <f t="shared" si="43"/>
        <v>0</v>
      </c>
      <c r="BQ44" s="20"/>
      <c r="BR44" s="19"/>
      <c r="BS44" s="19">
        <f t="shared" si="44"/>
        <v>0</v>
      </c>
      <c r="BT44" s="20"/>
      <c r="BU44" s="19"/>
      <c r="BV44" s="19">
        <f t="shared" si="45"/>
        <v>0</v>
      </c>
      <c r="BW44" s="20"/>
      <c r="BX44" s="19"/>
      <c r="BY44" s="19">
        <f t="shared" si="46"/>
        <v>0</v>
      </c>
      <c r="BZ44" s="20"/>
      <c r="CA44" s="19"/>
      <c r="CB44" s="19">
        <f t="shared" si="47"/>
        <v>0</v>
      </c>
      <c r="CC44" s="20"/>
      <c r="CD44" s="21"/>
      <c r="CE44" s="22"/>
    </row>
    <row r="45" spans="1:83" ht="10.199999999999999" hidden="1" customHeight="1" x14ac:dyDescent="0.25">
      <c r="A45" s="13"/>
      <c r="B45" s="13"/>
      <c r="C45" s="13"/>
      <c r="D45" s="14"/>
      <c r="E45" s="135"/>
      <c r="F45" s="15"/>
      <c r="G45" s="16">
        <f t="shared" ca="1" si="23"/>
        <v>0</v>
      </c>
      <c r="H45" s="17"/>
      <c r="I45" s="18"/>
      <c r="J45" s="19"/>
      <c r="K45" s="19">
        <f t="shared" si="24"/>
        <v>0</v>
      </c>
      <c r="L45" s="20"/>
      <c r="M45" s="19"/>
      <c r="N45" s="19">
        <f t="shared" si="25"/>
        <v>0</v>
      </c>
      <c r="O45" s="20"/>
      <c r="P45" s="19"/>
      <c r="Q45" s="19">
        <f t="shared" si="26"/>
        <v>0</v>
      </c>
      <c r="R45" s="20"/>
      <c r="S45" s="19"/>
      <c r="T45" s="19">
        <f t="shared" si="27"/>
        <v>0</v>
      </c>
      <c r="U45" s="20"/>
      <c r="V45" s="19"/>
      <c r="W45" s="19">
        <f t="shared" si="28"/>
        <v>0</v>
      </c>
      <c r="X45" s="20"/>
      <c r="Y45" s="19"/>
      <c r="Z45" s="19">
        <f t="shared" si="29"/>
        <v>0</v>
      </c>
      <c r="AA45" s="20"/>
      <c r="AB45" s="19"/>
      <c r="AC45" s="19">
        <f t="shared" si="30"/>
        <v>0</v>
      </c>
      <c r="AD45" s="20"/>
      <c r="AE45" s="19"/>
      <c r="AF45" s="19">
        <f t="shared" si="31"/>
        <v>0</v>
      </c>
      <c r="AG45" s="20"/>
      <c r="AH45" s="19"/>
      <c r="AI45" s="19">
        <f t="shared" si="32"/>
        <v>0</v>
      </c>
      <c r="AJ45" s="20"/>
      <c r="AK45" s="19"/>
      <c r="AL45" s="19">
        <f t="shared" si="33"/>
        <v>0</v>
      </c>
      <c r="AM45" s="20"/>
      <c r="AN45" s="19"/>
      <c r="AO45" s="19">
        <f t="shared" si="34"/>
        <v>0</v>
      </c>
      <c r="AP45" s="20"/>
      <c r="AQ45" s="19"/>
      <c r="AR45" s="19">
        <f t="shared" si="35"/>
        <v>0</v>
      </c>
      <c r="AS45" s="20"/>
      <c r="AT45" s="19"/>
      <c r="AU45" s="19">
        <f t="shared" si="36"/>
        <v>0</v>
      </c>
      <c r="AV45" s="20"/>
      <c r="AW45" s="19"/>
      <c r="AX45" s="19">
        <f t="shared" si="37"/>
        <v>0</v>
      </c>
      <c r="AY45" s="20"/>
      <c r="AZ45" s="19"/>
      <c r="BA45" s="19"/>
      <c r="BB45" s="20"/>
      <c r="BC45" s="19"/>
      <c r="BD45" s="19">
        <f t="shared" si="39"/>
        <v>0</v>
      </c>
      <c r="BE45" s="20"/>
      <c r="BF45" s="19"/>
      <c r="BG45" s="19">
        <f t="shared" si="40"/>
        <v>0</v>
      </c>
      <c r="BH45" s="20"/>
      <c r="BI45" s="19"/>
      <c r="BJ45" s="19">
        <f t="shared" si="41"/>
        <v>0</v>
      </c>
      <c r="BK45" s="20"/>
      <c r="BL45" s="19"/>
      <c r="BM45" s="19">
        <f t="shared" si="42"/>
        <v>0</v>
      </c>
      <c r="BN45" s="20"/>
      <c r="BO45" s="19"/>
      <c r="BP45" s="19">
        <f t="shared" si="43"/>
        <v>0</v>
      </c>
      <c r="BQ45" s="20"/>
      <c r="BR45" s="19"/>
      <c r="BS45" s="19">
        <f t="shared" si="44"/>
        <v>0</v>
      </c>
      <c r="BT45" s="20"/>
      <c r="BU45" s="19"/>
      <c r="BV45" s="19">
        <f t="shared" si="45"/>
        <v>0</v>
      </c>
      <c r="BW45" s="20"/>
      <c r="BX45" s="19"/>
      <c r="BY45" s="19">
        <f t="shared" si="46"/>
        <v>0</v>
      </c>
      <c r="BZ45" s="20"/>
      <c r="CA45" s="19"/>
      <c r="CB45" s="19">
        <f t="shared" si="47"/>
        <v>0</v>
      </c>
      <c r="CC45" s="20"/>
      <c r="CD45" s="21"/>
      <c r="CE45" s="22"/>
    </row>
    <row r="46" spans="1:83" ht="10.199999999999999" hidden="1" customHeight="1" x14ac:dyDescent="0.25">
      <c r="A46" s="13"/>
      <c r="B46" s="13"/>
      <c r="C46" s="13"/>
      <c r="D46" s="14"/>
      <c r="E46" s="135"/>
      <c r="F46" s="15"/>
      <c r="G46" s="16">
        <f t="shared" ca="1" si="23"/>
        <v>0</v>
      </c>
      <c r="H46" s="17"/>
      <c r="I46" s="18"/>
      <c r="J46" s="19"/>
      <c r="K46" s="19">
        <f t="shared" si="24"/>
        <v>0</v>
      </c>
      <c r="L46" s="20"/>
      <c r="M46" s="19"/>
      <c r="N46" s="19">
        <f t="shared" si="25"/>
        <v>0</v>
      </c>
      <c r="O46" s="20"/>
      <c r="P46" s="19"/>
      <c r="Q46" s="19">
        <f t="shared" si="26"/>
        <v>0</v>
      </c>
      <c r="R46" s="20"/>
      <c r="S46" s="19"/>
      <c r="T46" s="19">
        <f t="shared" si="27"/>
        <v>0</v>
      </c>
      <c r="U46" s="20"/>
      <c r="V46" s="19"/>
      <c r="W46" s="19">
        <f t="shared" si="28"/>
        <v>0</v>
      </c>
      <c r="X46" s="20"/>
      <c r="Y46" s="19"/>
      <c r="Z46" s="19">
        <f t="shared" si="29"/>
        <v>0</v>
      </c>
      <c r="AA46" s="20"/>
      <c r="AB46" s="19"/>
      <c r="AC46" s="19">
        <f t="shared" si="30"/>
        <v>0</v>
      </c>
      <c r="AD46" s="20"/>
      <c r="AE46" s="19"/>
      <c r="AF46" s="19">
        <f t="shared" si="31"/>
        <v>0</v>
      </c>
      <c r="AG46" s="20"/>
      <c r="AH46" s="19"/>
      <c r="AI46" s="19">
        <f t="shared" si="32"/>
        <v>0</v>
      </c>
      <c r="AJ46" s="20"/>
      <c r="AK46" s="19"/>
      <c r="AL46" s="19">
        <f t="shared" si="33"/>
        <v>0</v>
      </c>
      <c r="AM46" s="20"/>
      <c r="AN46" s="19"/>
      <c r="AO46" s="19">
        <f t="shared" si="34"/>
        <v>0</v>
      </c>
      <c r="AP46" s="20"/>
      <c r="AQ46" s="19"/>
      <c r="AR46" s="19">
        <f t="shared" si="35"/>
        <v>0</v>
      </c>
      <c r="AS46" s="20"/>
      <c r="AT46" s="19"/>
      <c r="AU46" s="19">
        <f t="shared" si="36"/>
        <v>0</v>
      </c>
      <c r="AV46" s="20"/>
      <c r="AW46" s="19"/>
      <c r="AX46" s="19">
        <f t="shared" si="37"/>
        <v>0</v>
      </c>
      <c r="AY46" s="20"/>
      <c r="AZ46" s="19"/>
      <c r="BA46" s="19"/>
      <c r="BB46" s="20"/>
      <c r="BC46" s="19"/>
      <c r="BD46" s="19">
        <f t="shared" si="39"/>
        <v>0</v>
      </c>
      <c r="BE46" s="20"/>
      <c r="BF46" s="19"/>
      <c r="BG46" s="19">
        <f t="shared" si="40"/>
        <v>0</v>
      </c>
      <c r="BH46" s="20"/>
      <c r="BI46" s="19"/>
      <c r="BJ46" s="19">
        <f t="shared" si="41"/>
        <v>0</v>
      </c>
      <c r="BK46" s="20"/>
      <c r="BL46" s="19"/>
      <c r="BM46" s="19">
        <f t="shared" si="42"/>
        <v>0</v>
      </c>
      <c r="BN46" s="20"/>
      <c r="BO46" s="19"/>
      <c r="BP46" s="19">
        <f t="shared" si="43"/>
        <v>0</v>
      </c>
      <c r="BQ46" s="20"/>
      <c r="BR46" s="19"/>
      <c r="BS46" s="19">
        <f t="shared" si="44"/>
        <v>0</v>
      </c>
      <c r="BT46" s="20"/>
      <c r="BU46" s="19"/>
      <c r="BV46" s="19">
        <f t="shared" si="45"/>
        <v>0</v>
      </c>
      <c r="BW46" s="20"/>
      <c r="BX46" s="19"/>
      <c r="BY46" s="19">
        <f t="shared" si="46"/>
        <v>0</v>
      </c>
      <c r="BZ46" s="20"/>
      <c r="CA46" s="19"/>
      <c r="CB46" s="19">
        <f t="shared" si="47"/>
        <v>0</v>
      </c>
      <c r="CC46" s="20"/>
      <c r="CD46" s="21"/>
      <c r="CE46" s="22"/>
    </row>
    <row r="47" spans="1:83" ht="10.199999999999999" hidden="1" customHeight="1" x14ac:dyDescent="0.25">
      <c r="A47" s="13"/>
      <c r="B47" s="13"/>
      <c r="C47" s="13"/>
      <c r="D47" s="14"/>
      <c r="E47" s="135"/>
      <c r="F47" s="15"/>
      <c r="G47" s="16">
        <f t="shared" ca="1" si="23"/>
        <v>0</v>
      </c>
      <c r="H47" s="17"/>
      <c r="I47" s="18"/>
      <c r="J47" s="19"/>
      <c r="K47" s="19">
        <f t="shared" si="24"/>
        <v>0</v>
      </c>
      <c r="L47" s="20"/>
      <c r="M47" s="19"/>
      <c r="N47" s="19">
        <f t="shared" si="25"/>
        <v>0</v>
      </c>
      <c r="O47" s="20"/>
      <c r="P47" s="19"/>
      <c r="Q47" s="19">
        <f t="shared" si="26"/>
        <v>0</v>
      </c>
      <c r="R47" s="20"/>
      <c r="S47" s="19"/>
      <c r="T47" s="19">
        <f t="shared" si="27"/>
        <v>0</v>
      </c>
      <c r="U47" s="20"/>
      <c r="V47" s="19"/>
      <c r="W47" s="19">
        <f t="shared" si="28"/>
        <v>0</v>
      </c>
      <c r="X47" s="20"/>
      <c r="Y47" s="19"/>
      <c r="Z47" s="19">
        <f t="shared" si="29"/>
        <v>0</v>
      </c>
      <c r="AA47" s="20"/>
      <c r="AB47" s="19"/>
      <c r="AC47" s="19">
        <f t="shared" si="30"/>
        <v>0</v>
      </c>
      <c r="AD47" s="20"/>
      <c r="AE47" s="19"/>
      <c r="AF47" s="19">
        <f t="shared" si="31"/>
        <v>0</v>
      </c>
      <c r="AG47" s="20"/>
      <c r="AH47" s="19"/>
      <c r="AI47" s="19">
        <f t="shared" si="32"/>
        <v>0</v>
      </c>
      <c r="AJ47" s="20"/>
      <c r="AK47" s="19"/>
      <c r="AL47" s="19">
        <f t="shared" si="33"/>
        <v>0</v>
      </c>
      <c r="AM47" s="20"/>
      <c r="AN47" s="19"/>
      <c r="AO47" s="19">
        <f t="shared" si="34"/>
        <v>0</v>
      </c>
      <c r="AP47" s="20"/>
      <c r="AQ47" s="19"/>
      <c r="AR47" s="19">
        <f t="shared" si="35"/>
        <v>0</v>
      </c>
      <c r="AS47" s="20"/>
      <c r="AT47" s="19"/>
      <c r="AU47" s="19">
        <f t="shared" si="36"/>
        <v>0</v>
      </c>
      <c r="AV47" s="20"/>
      <c r="AW47" s="19"/>
      <c r="AX47" s="19">
        <f t="shared" si="37"/>
        <v>0</v>
      </c>
      <c r="AY47" s="20"/>
      <c r="AZ47" s="19"/>
      <c r="BA47" s="19"/>
      <c r="BB47" s="20"/>
      <c r="BC47" s="19"/>
      <c r="BD47" s="19">
        <f t="shared" si="39"/>
        <v>0</v>
      </c>
      <c r="BE47" s="20"/>
      <c r="BF47" s="19"/>
      <c r="BG47" s="19">
        <f t="shared" si="40"/>
        <v>0</v>
      </c>
      <c r="BH47" s="20"/>
      <c r="BI47" s="19"/>
      <c r="BJ47" s="19">
        <f t="shared" si="41"/>
        <v>0</v>
      </c>
      <c r="BK47" s="20"/>
      <c r="BL47" s="19"/>
      <c r="BM47" s="19">
        <f t="shared" si="42"/>
        <v>0</v>
      </c>
      <c r="BN47" s="20"/>
      <c r="BO47" s="19"/>
      <c r="BP47" s="19">
        <f t="shared" si="43"/>
        <v>0</v>
      </c>
      <c r="BQ47" s="20"/>
      <c r="BR47" s="19"/>
      <c r="BS47" s="19">
        <f t="shared" si="44"/>
        <v>0</v>
      </c>
      <c r="BT47" s="20"/>
      <c r="BU47" s="19"/>
      <c r="BV47" s="19">
        <f t="shared" si="45"/>
        <v>0</v>
      </c>
      <c r="BW47" s="20"/>
      <c r="BX47" s="19"/>
      <c r="BY47" s="19">
        <f t="shared" si="46"/>
        <v>0</v>
      </c>
      <c r="BZ47" s="20"/>
      <c r="CA47" s="19"/>
      <c r="CB47" s="19">
        <f t="shared" si="47"/>
        <v>0</v>
      </c>
      <c r="CC47" s="20"/>
      <c r="CD47" s="21"/>
      <c r="CE47" s="22"/>
    </row>
    <row r="48" spans="1:83" ht="10.199999999999999" hidden="1" customHeight="1" x14ac:dyDescent="0.25">
      <c r="A48" s="13"/>
      <c r="B48" s="13"/>
      <c r="C48" s="13"/>
      <c r="D48" s="14"/>
      <c r="E48" s="135"/>
      <c r="F48" s="15"/>
      <c r="G48" s="16">
        <f t="shared" ca="1" si="23"/>
        <v>0</v>
      </c>
      <c r="H48" s="17"/>
      <c r="I48" s="18"/>
      <c r="J48" s="19"/>
      <c r="K48" s="19">
        <f t="shared" si="24"/>
        <v>0</v>
      </c>
      <c r="L48" s="20"/>
      <c r="M48" s="19"/>
      <c r="N48" s="19">
        <f t="shared" si="25"/>
        <v>0</v>
      </c>
      <c r="O48" s="20"/>
      <c r="P48" s="19"/>
      <c r="Q48" s="19">
        <f t="shared" si="26"/>
        <v>0</v>
      </c>
      <c r="R48" s="20"/>
      <c r="S48" s="19"/>
      <c r="T48" s="19">
        <f t="shared" si="27"/>
        <v>0</v>
      </c>
      <c r="U48" s="20"/>
      <c r="V48" s="19"/>
      <c r="W48" s="19">
        <f t="shared" si="28"/>
        <v>0</v>
      </c>
      <c r="X48" s="20"/>
      <c r="Y48" s="19"/>
      <c r="Z48" s="19">
        <f t="shared" si="29"/>
        <v>0</v>
      </c>
      <c r="AA48" s="20"/>
      <c r="AB48" s="19"/>
      <c r="AC48" s="19">
        <f t="shared" si="30"/>
        <v>0</v>
      </c>
      <c r="AD48" s="20"/>
      <c r="AE48" s="19"/>
      <c r="AF48" s="19">
        <f t="shared" si="31"/>
        <v>0</v>
      </c>
      <c r="AG48" s="20"/>
      <c r="AH48" s="19"/>
      <c r="AI48" s="19">
        <f t="shared" si="32"/>
        <v>0</v>
      </c>
      <c r="AJ48" s="20"/>
      <c r="AK48" s="19"/>
      <c r="AL48" s="19">
        <f t="shared" si="33"/>
        <v>0</v>
      </c>
      <c r="AM48" s="20"/>
      <c r="AN48" s="19"/>
      <c r="AO48" s="19">
        <f t="shared" si="34"/>
        <v>0</v>
      </c>
      <c r="AP48" s="20"/>
      <c r="AQ48" s="19"/>
      <c r="AR48" s="19">
        <f t="shared" si="35"/>
        <v>0</v>
      </c>
      <c r="AS48" s="20"/>
      <c r="AT48" s="19"/>
      <c r="AU48" s="19">
        <f t="shared" si="36"/>
        <v>0</v>
      </c>
      <c r="AV48" s="20"/>
      <c r="AW48" s="19"/>
      <c r="AX48" s="19">
        <f t="shared" si="37"/>
        <v>0</v>
      </c>
      <c r="AY48" s="20"/>
      <c r="AZ48" s="19"/>
      <c r="BA48" s="19"/>
      <c r="BB48" s="20"/>
      <c r="BC48" s="19"/>
      <c r="BD48" s="19">
        <f t="shared" si="39"/>
        <v>0</v>
      </c>
      <c r="BE48" s="20"/>
      <c r="BF48" s="19"/>
      <c r="BG48" s="19">
        <f t="shared" si="40"/>
        <v>0</v>
      </c>
      <c r="BH48" s="20"/>
      <c r="BI48" s="19"/>
      <c r="BJ48" s="19">
        <f t="shared" si="41"/>
        <v>0</v>
      </c>
      <c r="BK48" s="20"/>
      <c r="BL48" s="19"/>
      <c r="BM48" s="19">
        <f t="shared" si="42"/>
        <v>0</v>
      </c>
      <c r="BN48" s="20"/>
      <c r="BO48" s="19"/>
      <c r="BP48" s="19">
        <f t="shared" si="43"/>
        <v>0</v>
      </c>
      <c r="BQ48" s="20"/>
      <c r="BR48" s="19"/>
      <c r="BS48" s="19">
        <f t="shared" si="44"/>
        <v>0</v>
      </c>
      <c r="BT48" s="20"/>
      <c r="BU48" s="19"/>
      <c r="BV48" s="19">
        <f t="shared" si="45"/>
        <v>0</v>
      </c>
      <c r="BW48" s="20"/>
      <c r="BX48" s="19"/>
      <c r="BY48" s="19">
        <f t="shared" si="46"/>
        <v>0</v>
      </c>
      <c r="BZ48" s="20"/>
      <c r="CA48" s="19"/>
      <c r="CB48" s="19">
        <f t="shared" si="47"/>
        <v>0</v>
      </c>
      <c r="CC48" s="20"/>
      <c r="CD48" s="21"/>
      <c r="CE48" s="22"/>
    </row>
    <row r="49" spans="1:83" ht="10.199999999999999" hidden="1" customHeight="1" x14ac:dyDescent="0.25">
      <c r="A49" s="13"/>
      <c r="B49" s="13"/>
      <c r="C49" s="13"/>
      <c r="D49" s="14"/>
      <c r="E49" s="135"/>
      <c r="F49" s="15"/>
      <c r="G49" s="16">
        <f t="shared" ca="1" si="23"/>
        <v>0</v>
      </c>
      <c r="H49" s="17"/>
      <c r="I49" s="18"/>
      <c r="J49" s="19"/>
      <c r="K49" s="19">
        <f t="shared" si="24"/>
        <v>0</v>
      </c>
      <c r="L49" s="20"/>
      <c r="M49" s="19"/>
      <c r="N49" s="19">
        <f t="shared" si="25"/>
        <v>0</v>
      </c>
      <c r="O49" s="20"/>
      <c r="P49" s="19"/>
      <c r="Q49" s="19">
        <f t="shared" si="26"/>
        <v>0</v>
      </c>
      <c r="R49" s="20"/>
      <c r="S49" s="19"/>
      <c r="T49" s="19">
        <f t="shared" si="27"/>
        <v>0</v>
      </c>
      <c r="U49" s="20"/>
      <c r="V49" s="19"/>
      <c r="W49" s="19">
        <f t="shared" si="28"/>
        <v>0</v>
      </c>
      <c r="X49" s="20"/>
      <c r="Y49" s="19"/>
      <c r="Z49" s="19">
        <f t="shared" si="29"/>
        <v>0</v>
      </c>
      <c r="AA49" s="20"/>
      <c r="AB49" s="19"/>
      <c r="AC49" s="19">
        <f t="shared" si="30"/>
        <v>0</v>
      </c>
      <c r="AD49" s="20"/>
      <c r="AE49" s="19"/>
      <c r="AF49" s="19">
        <f t="shared" si="31"/>
        <v>0</v>
      </c>
      <c r="AG49" s="20"/>
      <c r="AH49" s="19"/>
      <c r="AI49" s="19">
        <f t="shared" si="32"/>
        <v>0</v>
      </c>
      <c r="AJ49" s="20"/>
      <c r="AK49" s="19"/>
      <c r="AL49" s="19">
        <f t="shared" si="33"/>
        <v>0</v>
      </c>
      <c r="AM49" s="20"/>
      <c r="AN49" s="19"/>
      <c r="AO49" s="19">
        <f t="shared" si="34"/>
        <v>0</v>
      </c>
      <c r="AP49" s="20"/>
      <c r="AQ49" s="19"/>
      <c r="AR49" s="19">
        <f t="shared" si="35"/>
        <v>0</v>
      </c>
      <c r="AS49" s="20"/>
      <c r="AT49" s="19"/>
      <c r="AU49" s="19">
        <f t="shared" si="36"/>
        <v>0</v>
      </c>
      <c r="AV49" s="20"/>
      <c r="AW49" s="19"/>
      <c r="AX49" s="19">
        <f t="shared" si="37"/>
        <v>0</v>
      </c>
      <c r="AY49" s="20"/>
      <c r="AZ49" s="19"/>
      <c r="BA49" s="19"/>
      <c r="BB49" s="20"/>
      <c r="BC49" s="19"/>
      <c r="BD49" s="19">
        <f t="shared" si="39"/>
        <v>0</v>
      </c>
      <c r="BE49" s="20"/>
      <c r="BF49" s="19"/>
      <c r="BG49" s="19">
        <f t="shared" si="40"/>
        <v>0</v>
      </c>
      <c r="BH49" s="20"/>
      <c r="BI49" s="19"/>
      <c r="BJ49" s="19">
        <f t="shared" si="41"/>
        <v>0</v>
      </c>
      <c r="BK49" s="20"/>
      <c r="BL49" s="19"/>
      <c r="BM49" s="19">
        <f t="shared" si="42"/>
        <v>0</v>
      </c>
      <c r="BN49" s="20"/>
      <c r="BO49" s="19"/>
      <c r="BP49" s="19">
        <f t="shared" si="43"/>
        <v>0</v>
      </c>
      <c r="BQ49" s="20"/>
      <c r="BR49" s="19"/>
      <c r="BS49" s="19">
        <f t="shared" si="44"/>
        <v>0</v>
      </c>
      <c r="BT49" s="20"/>
      <c r="BU49" s="19"/>
      <c r="BV49" s="19">
        <f t="shared" si="45"/>
        <v>0</v>
      </c>
      <c r="BW49" s="20"/>
      <c r="BX49" s="19"/>
      <c r="BY49" s="19">
        <f t="shared" si="46"/>
        <v>0</v>
      </c>
      <c r="BZ49" s="20"/>
      <c r="CA49" s="19"/>
      <c r="CB49" s="19">
        <f t="shared" si="47"/>
        <v>0</v>
      </c>
      <c r="CC49" s="20"/>
      <c r="CD49" s="21"/>
      <c r="CE49" s="22"/>
    </row>
    <row r="50" spans="1:83" ht="10.199999999999999" hidden="1" customHeight="1" x14ac:dyDescent="0.25">
      <c r="A50" s="13"/>
      <c r="B50" s="13"/>
      <c r="C50" s="13"/>
      <c r="D50" s="14"/>
      <c r="E50" s="135"/>
      <c r="F50" s="15"/>
      <c r="G50" s="16">
        <f t="shared" ca="1" si="23"/>
        <v>0</v>
      </c>
      <c r="H50" s="17"/>
      <c r="I50" s="18"/>
      <c r="J50" s="19"/>
      <c r="K50" s="19">
        <f t="shared" si="24"/>
        <v>0</v>
      </c>
      <c r="L50" s="20"/>
      <c r="M50" s="19"/>
      <c r="N50" s="19">
        <f t="shared" si="25"/>
        <v>0</v>
      </c>
      <c r="O50" s="20"/>
      <c r="P50" s="19"/>
      <c r="Q50" s="19">
        <f t="shared" si="26"/>
        <v>0</v>
      </c>
      <c r="R50" s="20"/>
      <c r="S50" s="19"/>
      <c r="T50" s="19">
        <f t="shared" si="27"/>
        <v>0</v>
      </c>
      <c r="U50" s="20"/>
      <c r="V50" s="19"/>
      <c r="W50" s="19">
        <f t="shared" si="28"/>
        <v>0</v>
      </c>
      <c r="X50" s="20"/>
      <c r="Y50" s="19"/>
      <c r="Z50" s="19">
        <f t="shared" si="29"/>
        <v>0</v>
      </c>
      <c r="AA50" s="20"/>
      <c r="AB50" s="19"/>
      <c r="AC50" s="19">
        <f t="shared" si="30"/>
        <v>0</v>
      </c>
      <c r="AD50" s="20"/>
      <c r="AE50" s="19"/>
      <c r="AF50" s="19">
        <f t="shared" si="31"/>
        <v>0</v>
      </c>
      <c r="AG50" s="20"/>
      <c r="AH50" s="19"/>
      <c r="AI50" s="19">
        <f t="shared" si="32"/>
        <v>0</v>
      </c>
      <c r="AJ50" s="20"/>
      <c r="AK50" s="19"/>
      <c r="AL50" s="19">
        <f t="shared" si="33"/>
        <v>0</v>
      </c>
      <c r="AM50" s="20"/>
      <c r="AN50" s="19"/>
      <c r="AO50" s="19">
        <f t="shared" si="34"/>
        <v>0</v>
      </c>
      <c r="AP50" s="20"/>
      <c r="AQ50" s="19"/>
      <c r="AR50" s="19">
        <f t="shared" si="35"/>
        <v>0</v>
      </c>
      <c r="AS50" s="20"/>
      <c r="AT50" s="19"/>
      <c r="AU50" s="19">
        <f t="shared" si="36"/>
        <v>0</v>
      </c>
      <c r="AV50" s="20"/>
      <c r="AW50" s="19"/>
      <c r="AX50" s="19">
        <f t="shared" si="37"/>
        <v>0</v>
      </c>
      <c r="AY50" s="20"/>
      <c r="AZ50" s="19"/>
      <c r="BA50" s="19"/>
      <c r="BB50" s="20"/>
      <c r="BC50" s="19"/>
      <c r="BD50" s="19">
        <f t="shared" si="39"/>
        <v>0</v>
      </c>
      <c r="BE50" s="20"/>
      <c r="BF50" s="19"/>
      <c r="BG50" s="19">
        <f t="shared" si="40"/>
        <v>0</v>
      </c>
      <c r="BH50" s="20"/>
      <c r="BI50" s="19"/>
      <c r="BJ50" s="19">
        <f t="shared" si="41"/>
        <v>0</v>
      </c>
      <c r="BK50" s="20"/>
      <c r="BL50" s="19"/>
      <c r="BM50" s="19">
        <f t="shared" si="42"/>
        <v>0</v>
      </c>
      <c r="BN50" s="20"/>
      <c r="BO50" s="19"/>
      <c r="BP50" s="19">
        <f t="shared" si="43"/>
        <v>0</v>
      </c>
      <c r="BQ50" s="20"/>
      <c r="BR50" s="19"/>
      <c r="BS50" s="19">
        <f t="shared" si="44"/>
        <v>0</v>
      </c>
      <c r="BT50" s="20"/>
      <c r="BU50" s="19"/>
      <c r="BV50" s="19">
        <f t="shared" si="45"/>
        <v>0</v>
      </c>
      <c r="BW50" s="20"/>
      <c r="BX50" s="19"/>
      <c r="BY50" s="19">
        <f t="shared" si="46"/>
        <v>0</v>
      </c>
      <c r="BZ50" s="20"/>
      <c r="CA50" s="19"/>
      <c r="CB50" s="19">
        <f t="shared" si="47"/>
        <v>0</v>
      </c>
      <c r="CC50" s="20"/>
      <c r="CD50" s="21"/>
      <c r="CE50" s="22"/>
    </row>
    <row r="51" spans="1:83" ht="10.199999999999999" hidden="1" customHeight="1" x14ac:dyDescent="0.25">
      <c r="A51" s="13"/>
      <c r="B51" s="13"/>
      <c r="C51" s="13"/>
      <c r="D51" s="14"/>
      <c r="E51" s="135"/>
      <c r="F51" s="15"/>
      <c r="G51" s="16">
        <f t="shared" ca="1" si="23"/>
        <v>0</v>
      </c>
      <c r="H51" s="17"/>
      <c r="I51" s="18"/>
      <c r="J51" s="19"/>
      <c r="K51" s="19">
        <f t="shared" si="24"/>
        <v>0</v>
      </c>
      <c r="L51" s="20"/>
      <c r="M51" s="19"/>
      <c r="N51" s="19">
        <f t="shared" si="25"/>
        <v>0</v>
      </c>
      <c r="O51" s="20"/>
      <c r="P51" s="19"/>
      <c r="Q51" s="19">
        <f t="shared" si="26"/>
        <v>0</v>
      </c>
      <c r="R51" s="20"/>
      <c r="S51" s="19"/>
      <c r="T51" s="19">
        <f t="shared" si="27"/>
        <v>0</v>
      </c>
      <c r="U51" s="20"/>
      <c r="V51" s="19"/>
      <c r="W51" s="19">
        <f t="shared" si="28"/>
        <v>0</v>
      </c>
      <c r="X51" s="20"/>
      <c r="Y51" s="19"/>
      <c r="Z51" s="19">
        <f t="shared" si="29"/>
        <v>0</v>
      </c>
      <c r="AA51" s="20"/>
      <c r="AB51" s="19"/>
      <c r="AC51" s="19">
        <f t="shared" si="30"/>
        <v>0</v>
      </c>
      <c r="AD51" s="20"/>
      <c r="AE51" s="19"/>
      <c r="AF51" s="19">
        <f t="shared" si="31"/>
        <v>0</v>
      </c>
      <c r="AG51" s="20"/>
      <c r="AH51" s="19"/>
      <c r="AI51" s="19">
        <f t="shared" si="32"/>
        <v>0</v>
      </c>
      <c r="AJ51" s="20"/>
      <c r="AK51" s="19"/>
      <c r="AL51" s="19">
        <f t="shared" si="33"/>
        <v>0</v>
      </c>
      <c r="AM51" s="20"/>
      <c r="AN51" s="19"/>
      <c r="AO51" s="19">
        <f t="shared" si="34"/>
        <v>0</v>
      </c>
      <c r="AP51" s="20"/>
      <c r="AQ51" s="19"/>
      <c r="AR51" s="19">
        <f t="shared" si="35"/>
        <v>0</v>
      </c>
      <c r="AS51" s="20"/>
      <c r="AT51" s="19"/>
      <c r="AU51" s="19">
        <f t="shared" si="36"/>
        <v>0</v>
      </c>
      <c r="AV51" s="20"/>
      <c r="AW51" s="19"/>
      <c r="AX51" s="19">
        <f t="shared" si="37"/>
        <v>0</v>
      </c>
      <c r="AY51" s="20"/>
      <c r="AZ51" s="19"/>
      <c r="BA51" s="19"/>
      <c r="BB51" s="20"/>
      <c r="BC51" s="19"/>
      <c r="BD51" s="19">
        <f t="shared" si="39"/>
        <v>0</v>
      </c>
      <c r="BE51" s="20"/>
      <c r="BF51" s="19"/>
      <c r="BG51" s="19">
        <f t="shared" si="40"/>
        <v>0</v>
      </c>
      <c r="BH51" s="20"/>
      <c r="BI51" s="19"/>
      <c r="BJ51" s="19">
        <f t="shared" si="41"/>
        <v>0</v>
      </c>
      <c r="BK51" s="20"/>
      <c r="BL51" s="19"/>
      <c r="BM51" s="19">
        <f t="shared" si="42"/>
        <v>0</v>
      </c>
      <c r="BN51" s="20"/>
      <c r="BO51" s="19"/>
      <c r="BP51" s="19">
        <f t="shared" si="43"/>
        <v>0</v>
      </c>
      <c r="BQ51" s="20"/>
      <c r="BR51" s="19"/>
      <c r="BS51" s="19">
        <f t="shared" si="44"/>
        <v>0</v>
      </c>
      <c r="BT51" s="20"/>
      <c r="BU51" s="19"/>
      <c r="BV51" s="19">
        <f t="shared" si="45"/>
        <v>0</v>
      </c>
      <c r="BW51" s="20"/>
      <c r="BX51" s="19"/>
      <c r="BY51" s="19">
        <f t="shared" si="46"/>
        <v>0</v>
      </c>
      <c r="BZ51" s="20"/>
      <c r="CA51" s="19"/>
      <c r="CB51" s="19">
        <f t="shared" si="47"/>
        <v>0</v>
      </c>
      <c r="CC51" s="20"/>
      <c r="CD51" s="21"/>
      <c r="CE51" s="22"/>
    </row>
    <row r="52" spans="1:83" ht="10.199999999999999" hidden="1" customHeight="1" x14ac:dyDescent="0.25">
      <c r="A52" s="13"/>
      <c r="B52" s="13"/>
      <c r="C52" s="13"/>
      <c r="D52" s="14"/>
      <c r="E52" s="135"/>
      <c r="F52" s="15"/>
      <c r="G52" s="16">
        <f t="shared" ca="1" si="23"/>
        <v>0</v>
      </c>
      <c r="H52" s="17"/>
      <c r="I52" s="18"/>
      <c r="J52" s="19"/>
      <c r="K52" s="19">
        <f t="shared" si="24"/>
        <v>0</v>
      </c>
      <c r="L52" s="20"/>
      <c r="M52" s="19"/>
      <c r="N52" s="19">
        <f t="shared" si="25"/>
        <v>0</v>
      </c>
      <c r="O52" s="20"/>
      <c r="P52" s="19"/>
      <c r="Q52" s="19">
        <f t="shared" si="26"/>
        <v>0</v>
      </c>
      <c r="R52" s="20"/>
      <c r="S52" s="19"/>
      <c r="T52" s="19">
        <f t="shared" si="27"/>
        <v>0</v>
      </c>
      <c r="U52" s="20"/>
      <c r="V52" s="19"/>
      <c r="W52" s="19">
        <f t="shared" si="28"/>
        <v>0</v>
      </c>
      <c r="X52" s="20"/>
      <c r="Y52" s="19"/>
      <c r="Z52" s="19">
        <f t="shared" si="29"/>
        <v>0</v>
      </c>
      <c r="AA52" s="20"/>
      <c r="AB52" s="19"/>
      <c r="AC52" s="19">
        <f t="shared" si="30"/>
        <v>0</v>
      </c>
      <c r="AD52" s="20"/>
      <c r="AE52" s="19"/>
      <c r="AF52" s="19">
        <f t="shared" si="31"/>
        <v>0</v>
      </c>
      <c r="AG52" s="20"/>
      <c r="AH52" s="19"/>
      <c r="AI52" s="19">
        <f t="shared" si="32"/>
        <v>0</v>
      </c>
      <c r="AJ52" s="20"/>
      <c r="AK52" s="19"/>
      <c r="AL52" s="19">
        <f t="shared" si="33"/>
        <v>0</v>
      </c>
      <c r="AM52" s="20"/>
      <c r="AN52" s="19"/>
      <c r="AO52" s="19">
        <f t="shared" si="34"/>
        <v>0</v>
      </c>
      <c r="AP52" s="20"/>
      <c r="AQ52" s="19"/>
      <c r="AR52" s="19">
        <f t="shared" si="35"/>
        <v>0</v>
      </c>
      <c r="AS52" s="20"/>
      <c r="AT52" s="19"/>
      <c r="AU52" s="19">
        <f t="shared" si="36"/>
        <v>0</v>
      </c>
      <c r="AV52" s="20"/>
      <c r="AW52" s="19"/>
      <c r="AX52" s="19">
        <f t="shared" si="37"/>
        <v>0</v>
      </c>
      <c r="AY52" s="20"/>
      <c r="AZ52" s="19"/>
      <c r="BA52" s="19"/>
      <c r="BB52" s="20"/>
      <c r="BC52" s="19"/>
      <c r="BD52" s="19">
        <f t="shared" si="39"/>
        <v>0</v>
      </c>
      <c r="BE52" s="20"/>
      <c r="BF52" s="19"/>
      <c r="BG52" s="19">
        <f t="shared" si="40"/>
        <v>0</v>
      </c>
      <c r="BH52" s="20"/>
      <c r="BI52" s="19"/>
      <c r="BJ52" s="19">
        <f t="shared" si="41"/>
        <v>0</v>
      </c>
      <c r="BK52" s="20"/>
      <c r="BL52" s="19"/>
      <c r="BM52" s="19">
        <f t="shared" si="42"/>
        <v>0</v>
      </c>
      <c r="BN52" s="20"/>
      <c r="BO52" s="19"/>
      <c r="BP52" s="19">
        <f t="shared" si="43"/>
        <v>0</v>
      </c>
      <c r="BQ52" s="20"/>
      <c r="BR52" s="19"/>
      <c r="BS52" s="19">
        <f t="shared" si="44"/>
        <v>0</v>
      </c>
      <c r="BT52" s="20"/>
      <c r="BU52" s="19"/>
      <c r="BV52" s="19">
        <f t="shared" si="45"/>
        <v>0</v>
      </c>
      <c r="BW52" s="20"/>
      <c r="BX52" s="19"/>
      <c r="BY52" s="19">
        <f t="shared" si="46"/>
        <v>0</v>
      </c>
      <c r="BZ52" s="20"/>
      <c r="CA52" s="19"/>
      <c r="CB52" s="19">
        <f t="shared" si="47"/>
        <v>0</v>
      </c>
      <c r="CC52" s="20"/>
      <c r="CD52" s="21"/>
      <c r="CE52" s="22"/>
    </row>
    <row r="53" spans="1:83" ht="10.199999999999999" hidden="1" customHeight="1" x14ac:dyDescent="0.25">
      <c r="A53" s="13"/>
      <c r="B53" s="13"/>
      <c r="C53" s="13"/>
      <c r="D53" s="14"/>
      <c r="E53" s="135"/>
      <c r="F53" s="15"/>
      <c r="G53" s="16">
        <f t="shared" ca="1" si="23"/>
        <v>0</v>
      </c>
      <c r="H53" s="17"/>
      <c r="I53" s="18"/>
      <c r="J53" s="19"/>
      <c r="K53" s="19">
        <f t="shared" si="24"/>
        <v>0</v>
      </c>
      <c r="L53" s="20"/>
      <c r="M53" s="19"/>
      <c r="N53" s="19">
        <f t="shared" si="25"/>
        <v>0</v>
      </c>
      <c r="O53" s="20"/>
      <c r="P53" s="19"/>
      <c r="Q53" s="19">
        <f t="shared" si="26"/>
        <v>0</v>
      </c>
      <c r="R53" s="20"/>
      <c r="S53" s="19"/>
      <c r="T53" s="19">
        <f t="shared" si="27"/>
        <v>0</v>
      </c>
      <c r="U53" s="20"/>
      <c r="V53" s="19"/>
      <c r="W53" s="19">
        <f t="shared" si="28"/>
        <v>0</v>
      </c>
      <c r="X53" s="20"/>
      <c r="Y53" s="19"/>
      <c r="Z53" s="19">
        <f t="shared" si="29"/>
        <v>0</v>
      </c>
      <c r="AA53" s="20"/>
      <c r="AB53" s="19"/>
      <c r="AC53" s="19">
        <f t="shared" si="30"/>
        <v>0</v>
      </c>
      <c r="AD53" s="20"/>
      <c r="AE53" s="19"/>
      <c r="AF53" s="19">
        <f t="shared" si="31"/>
        <v>0</v>
      </c>
      <c r="AG53" s="20"/>
      <c r="AH53" s="19"/>
      <c r="AI53" s="19">
        <f t="shared" si="32"/>
        <v>0</v>
      </c>
      <c r="AJ53" s="20"/>
      <c r="AK53" s="19"/>
      <c r="AL53" s="19">
        <f t="shared" si="33"/>
        <v>0</v>
      </c>
      <c r="AM53" s="20"/>
      <c r="AN53" s="19"/>
      <c r="AO53" s="19">
        <f t="shared" si="34"/>
        <v>0</v>
      </c>
      <c r="AP53" s="20"/>
      <c r="AQ53" s="19"/>
      <c r="AR53" s="19">
        <f t="shared" si="35"/>
        <v>0</v>
      </c>
      <c r="AS53" s="20"/>
      <c r="AT53" s="19"/>
      <c r="AU53" s="19">
        <f t="shared" si="36"/>
        <v>0</v>
      </c>
      <c r="AV53" s="20"/>
      <c r="AW53" s="19"/>
      <c r="AX53" s="19">
        <f t="shared" si="37"/>
        <v>0</v>
      </c>
      <c r="AY53" s="20"/>
      <c r="AZ53" s="19"/>
      <c r="BA53" s="19"/>
      <c r="BB53" s="20"/>
      <c r="BC53" s="19"/>
      <c r="BD53" s="19">
        <f t="shared" si="39"/>
        <v>0</v>
      </c>
      <c r="BE53" s="20"/>
      <c r="BF53" s="19"/>
      <c r="BG53" s="19">
        <f t="shared" si="40"/>
        <v>0</v>
      </c>
      <c r="BH53" s="20"/>
      <c r="BI53" s="19"/>
      <c r="BJ53" s="19">
        <f t="shared" si="41"/>
        <v>0</v>
      </c>
      <c r="BK53" s="20"/>
      <c r="BL53" s="19"/>
      <c r="BM53" s="19">
        <f t="shared" si="42"/>
        <v>0</v>
      </c>
      <c r="BN53" s="20"/>
      <c r="BO53" s="19"/>
      <c r="BP53" s="19">
        <f t="shared" si="43"/>
        <v>0</v>
      </c>
      <c r="BQ53" s="20"/>
      <c r="BR53" s="19"/>
      <c r="BS53" s="19">
        <f t="shared" si="44"/>
        <v>0</v>
      </c>
      <c r="BT53" s="20"/>
      <c r="BU53" s="19"/>
      <c r="BV53" s="19">
        <f t="shared" si="45"/>
        <v>0</v>
      </c>
      <c r="BW53" s="20"/>
      <c r="BX53" s="19"/>
      <c r="BY53" s="19">
        <f t="shared" si="46"/>
        <v>0</v>
      </c>
      <c r="BZ53" s="20"/>
      <c r="CA53" s="19"/>
      <c r="CB53" s="19">
        <f t="shared" si="47"/>
        <v>0</v>
      </c>
      <c r="CC53" s="20"/>
      <c r="CD53" s="21"/>
      <c r="CE53" s="22"/>
    </row>
    <row r="54" spans="1:83" ht="10.199999999999999" hidden="1" customHeight="1" x14ac:dyDescent="0.25">
      <c r="A54" s="13"/>
      <c r="B54" s="13"/>
      <c r="C54" s="13"/>
      <c r="D54" s="14"/>
      <c r="E54" s="135"/>
      <c r="F54" s="15"/>
      <c r="G54" s="16">
        <f t="shared" ca="1" si="23"/>
        <v>0</v>
      </c>
      <c r="H54" s="17"/>
      <c r="I54" s="18"/>
      <c r="J54" s="19"/>
      <c r="K54" s="19">
        <f t="shared" si="24"/>
        <v>0</v>
      </c>
      <c r="L54" s="20"/>
      <c r="M54" s="19"/>
      <c r="N54" s="19">
        <f t="shared" si="25"/>
        <v>0</v>
      </c>
      <c r="O54" s="20"/>
      <c r="P54" s="19"/>
      <c r="Q54" s="19">
        <f t="shared" si="26"/>
        <v>0</v>
      </c>
      <c r="R54" s="20"/>
      <c r="S54" s="19"/>
      <c r="T54" s="19">
        <f t="shared" si="27"/>
        <v>0</v>
      </c>
      <c r="U54" s="20"/>
      <c r="V54" s="19"/>
      <c r="W54" s="19">
        <f t="shared" si="28"/>
        <v>0</v>
      </c>
      <c r="X54" s="20"/>
      <c r="Y54" s="19"/>
      <c r="Z54" s="19">
        <f t="shared" si="29"/>
        <v>0</v>
      </c>
      <c r="AA54" s="20"/>
      <c r="AB54" s="19"/>
      <c r="AC54" s="19">
        <f t="shared" si="30"/>
        <v>0</v>
      </c>
      <c r="AD54" s="20"/>
      <c r="AE54" s="19"/>
      <c r="AF54" s="19">
        <f t="shared" si="31"/>
        <v>0</v>
      </c>
      <c r="AG54" s="20"/>
      <c r="AH54" s="19"/>
      <c r="AI54" s="19">
        <f t="shared" si="32"/>
        <v>0</v>
      </c>
      <c r="AJ54" s="20"/>
      <c r="AK54" s="19"/>
      <c r="AL54" s="19">
        <f t="shared" si="33"/>
        <v>0</v>
      </c>
      <c r="AM54" s="20"/>
      <c r="AN54" s="19"/>
      <c r="AO54" s="19">
        <f t="shared" si="34"/>
        <v>0</v>
      </c>
      <c r="AP54" s="20"/>
      <c r="AQ54" s="19"/>
      <c r="AR54" s="19">
        <f t="shared" si="35"/>
        <v>0</v>
      </c>
      <c r="AS54" s="20"/>
      <c r="AT54" s="19"/>
      <c r="AU54" s="19">
        <f t="shared" si="36"/>
        <v>0</v>
      </c>
      <c r="AV54" s="20"/>
      <c r="AW54" s="19"/>
      <c r="AX54" s="19">
        <f t="shared" si="37"/>
        <v>0</v>
      </c>
      <c r="AY54" s="20"/>
      <c r="AZ54" s="19"/>
      <c r="BA54" s="19"/>
      <c r="BB54" s="20"/>
      <c r="BC54" s="19"/>
      <c r="BD54" s="19">
        <f t="shared" si="39"/>
        <v>0</v>
      </c>
      <c r="BE54" s="20"/>
      <c r="BF54" s="19"/>
      <c r="BG54" s="19">
        <f t="shared" si="40"/>
        <v>0</v>
      </c>
      <c r="BH54" s="20"/>
      <c r="BI54" s="19"/>
      <c r="BJ54" s="19">
        <f t="shared" si="41"/>
        <v>0</v>
      </c>
      <c r="BK54" s="20"/>
      <c r="BL54" s="19"/>
      <c r="BM54" s="19">
        <f t="shared" si="42"/>
        <v>0</v>
      </c>
      <c r="BN54" s="20"/>
      <c r="BO54" s="19"/>
      <c r="BP54" s="19">
        <f t="shared" si="43"/>
        <v>0</v>
      </c>
      <c r="BQ54" s="20"/>
      <c r="BR54" s="19"/>
      <c r="BS54" s="19">
        <f t="shared" si="44"/>
        <v>0</v>
      </c>
      <c r="BT54" s="20"/>
      <c r="BU54" s="19"/>
      <c r="BV54" s="19">
        <f t="shared" si="45"/>
        <v>0</v>
      </c>
      <c r="BW54" s="20"/>
      <c r="BX54" s="19"/>
      <c r="BY54" s="19">
        <f t="shared" si="46"/>
        <v>0</v>
      </c>
      <c r="BZ54" s="20"/>
      <c r="CA54" s="19"/>
      <c r="CB54" s="19">
        <f t="shared" si="47"/>
        <v>0</v>
      </c>
      <c r="CC54" s="20"/>
      <c r="CD54" s="21"/>
      <c r="CE54" s="22"/>
    </row>
    <row r="55" spans="1:83" ht="10.199999999999999" hidden="1" customHeight="1" x14ac:dyDescent="0.25">
      <c r="A55" s="13"/>
      <c r="B55" s="13"/>
      <c r="C55" s="13"/>
      <c r="D55" s="14"/>
      <c r="E55" s="135"/>
      <c r="F55" s="15"/>
      <c r="G55" s="16">
        <f t="shared" ca="1" si="23"/>
        <v>0</v>
      </c>
      <c r="H55" s="17"/>
      <c r="I55" s="18"/>
      <c r="J55" s="19"/>
      <c r="K55" s="19">
        <f t="shared" si="24"/>
        <v>0</v>
      </c>
      <c r="L55" s="20"/>
      <c r="M55" s="19"/>
      <c r="N55" s="19">
        <f t="shared" si="25"/>
        <v>0</v>
      </c>
      <c r="O55" s="20"/>
      <c r="P55" s="19"/>
      <c r="Q55" s="19">
        <f t="shared" si="26"/>
        <v>0</v>
      </c>
      <c r="R55" s="20"/>
      <c r="S55" s="19"/>
      <c r="T55" s="19">
        <f t="shared" si="27"/>
        <v>0</v>
      </c>
      <c r="U55" s="20"/>
      <c r="V55" s="19"/>
      <c r="W55" s="19">
        <f t="shared" si="28"/>
        <v>0</v>
      </c>
      <c r="X55" s="20"/>
      <c r="Y55" s="19"/>
      <c r="Z55" s="19">
        <f t="shared" si="29"/>
        <v>0</v>
      </c>
      <c r="AA55" s="20"/>
      <c r="AB55" s="19"/>
      <c r="AC55" s="19">
        <f t="shared" si="30"/>
        <v>0</v>
      </c>
      <c r="AD55" s="20"/>
      <c r="AE55" s="19"/>
      <c r="AF55" s="19">
        <f t="shared" si="31"/>
        <v>0</v>
      </c>
      <c r="AG55" s="20"/>
      <c r="AH55" s="19"/>
      <c r="AI55" s="19">
        <f t="shared" si="32"/>
        <v>0</v>
      </c>
      <c r="AJ55" s="20"/>
      <c r="AK55" s="19"/>
      <c r="AL55" s="19">
        <f t="shared" si="33"/>
        <v>0</v>
      </c>
      <c r="AM55" s="20"/>
      <c r="AN55" s="19"/>
      <c r="AO55" s="19">
        <f t="shared" si="34"/>
        <v>0</v>
      </c>
      <c r="AP55" s="20"/>
      <c r="AQ55" s="19"/>
      <c r="AR55" s="19">
        <f t="shared" si="35"/>
        <v>0</v>
      </c>
      <c r="AS55" s="20"/>
      <c r="AT55" s="19"/>
      <c r="AU55" s="19">
        <f t="shared" si="36"/>
        <v>0</v>
      </c>
      <c r="AV55" s="20"/>
      <c r="AW55" s="19"/>
      <c r="AX55" s="19">
        <f t="shared" si="37"/>
        <v>0</v>
      </c>
      <c r="AY55" s="20"/>
      <c r="AZ55" s="19"/>
      <c r="BA55" s="19"/>
      <c r="BB55" s="20"/>
      <c r="BC55" s="19"/>
      <c r="BD55" s="19">
        <f t="shared" si="39"/>
        <v>0</v>
      </c>
      <c r="BE55" s="20"/>
      <c r="BF55" s="19"/>
      <c r="BG55" s="19">
        <f t="shared" si="40"/>
        <v>0</v>
      </c>
      <c r="BH55" s="20"/>
      <c r="BI55" s="19"/>
      <c r="BJ55" s="19">
        <f t="shared" si="41"/>
        <v>0</v>
      </c>
      <c r="BK55" s="20"/>
      <c r="BL55" s="19"/>
      <c r="BM55" s="19">
        <f t="shared" si="42"/>
        <v>0</v>
      </c>
      <c r="BN55" s="20"/>
      <c r="BO55" s="19"/>
      <c r="BP55" s="19">
        <f t="shared" si="43"/>
        <v>0</v>
      </c>
      <c r="BQ55" s="20"/>
      <c r="BR55" s="19"/>
      <c r="BS55" s="19">
        <f t="shared" si="44"/>
        <v>0</v>
      </c>
      <c r="BT55" s="20"/>
      <c r="BU55" s="19"/>
      <c r="BV55" s="19">
        <f t="shared" si="45"/>
        <v>0</v>
      </c>
      <c r="BW55" s="20"/>
      <c r="BX55" s="19"/>
      <c r="BY55" s="19">
        <f t="shared" si="46"/>
        <v>0</v>
      </c>
      <c r="BZ55" s="20"/>
      <c r="CA55" s="19"/>
      <c r="CB55" s="19">
        <f t="shared" si="47"/>
        <v>0</v>
      </c>
      <c r="CC55" s="20"/>
      <c r="CD55" s="21"/>
      <c r="CE55" s="22"/>
    </row>
    <row r="56" spans="1:83" ht="10.199999999999999" hidden="1" customHeight="1" x14ac:dyDescent="0.25">
      <c r="A56" s="13"/>
      <c r="B56" s="13"/>
      <c r="C56" s="13"/>
      <c r="D56" s="14"/>
      <c r="E56" s="135"/>
      <c r="F56" s="15"/>
      <c r="G56" s="16">
        <f t="shared" ca="1" si="23"/>
        <v>0</v>
      </c>
      <c r="H56" s="17"/>
      <c r="I56" s="18"/>
      <c r="J56" s="19"/>
      <c r="K56" s="19">
        <f t="shared" si="24"/>
        <v>0</v>
      </c>
      <c r="L56" s="20"/>
      <c r="M56" s="19"/>
      <c r="N56" s="19">
        <f t="shared" si="25"/>
        <v>0</v>
      </c>
      <c r="O56" s="20"/>
      <c r="P56" s="19"/>
      <c r="Q56" s="19">
        <f t="shared" si="26"/>
        <v>0</v>
      </c>
      <c r="R56" s="20"/>
      <c r="S56" s="19"/>
      <c r="T56" s="19">
        <f t="shared" si="27"/>
        <v>0</v>
      </c>
      <c r="U56" s="20"/>
      <c r="V56" s="19"/>
      <c r="W56" s="19">
        <f t="shared" si="28"/>
        <v>0</v>
      </c>
      <c r="X56" s="20"/>
      <c r="Y56" s="19"/>
      <c r="Z56" s="19">
        <f t="shared" si="29"/>
        <v>0</v>
      </c>
      <c r="AA56" s="20"/>
      <c r="AB56" s="19"/>
      <c r="AC56" s="19">
        <f t="shared" si="30"/>
        <v>0</v>
      </c>
      <c r="AD56" s="20"/>
      <c r="AE56" s="19"/>
      <c r="AF56" s="19">
        <f t="shared" si="31"/>
        <v>0</v>
      </c>
      <c r="AG56" s="20"/>
      <c r="AH56" s="19"/>
      <c r="AI56" s="19">
        <f t="shared" si="32"/>
        <v>0</v>
      </c>
      <c r="AJ56" s="20"/>
      <c r="AK56" s="19"/>
      <c r="AL56" s="19">
        <f t="shared" si="33"/>
        <v>0</v>
      </c>
      <c r="AM56" s="20"/>
      <c r="AN56" s="19"/>
      <c r="AO56" s="19">
        <f t="shared" si="34"/>
        <v>0</v>
      </c>
      <c r="AP56" s="20"/>
      <c r="AQ56" s="19"/>
      <c r="AR56" s="19">
        <f t="shared" si="35"/>
        <v>0</v>
      </c>
      <c r="AS56" s="20"/>
      <c r="AT56" s="19"/>
      <c r="AU56" s="19">
        <f t="shared" si="36"/>
        <v>0</v>
      </c>
      <c r="AV56" s="20"/>
      <c r="AW56" s="19"/>
      <c r="AX56" s="19">
        <f t="shared" si="37"/>
        <v>0</v>
      </c>
      <c r="AY56" s="20"/>
      <c r="AZ56" s="19"/>
      <c r="BA56" s="19"/>
      <c r="BB56" s="20"/>
      <c r="BC56" s="19"/>
      <c r="BD56" s="19">
        <f t="shared" si="39"/>
        <v>0</v>
      </c>
      <c r="BE56" s="20"/>
      <c r="BF56" s="19"/>
      <c r="BG56" s="19">
        <f t="shared" si="40"/>
        <v>0</v>
      </c>
      <c r="BH56" s="20"/>
      <c r="BI56" s="19"/>
      <c r="BJ56" s="19">
        <f t="shared" si="41"/>
        <v>0</v>
      </c>
      <c r="BK56" s="20"/>
      <c r="BL56" s="19"/>
      <c r="BM56" s="19">
        <f t="shared" si="42"/>
        <v>0</v>
      </c>
      <c r="BN56" s="20"/>
      <c r="BO56" s="19"/>
      <c r="BP56" s="19">
        <f t="shared" si="43"/>
        <v>0</v>
      </c>
      <c r="BQ56" s="20"/>
      <c r="BR56" s="19"/>
      <c r="BS56" s="19">
        <f t="shared" si="44"/>
        <v>0</v>
      </c>
      <c r="BT56" s="20"/>
      <c r="BU56" s="19"/>
      <c r="BV56" s="19">
        <f t="shared" si="45"/>
        <v>0</v>
      </c>
      <c r="BW56" s="20"/>
      <c r="BX56" s="19"/>
      <c r="BY56" s="19">
        <f t="shared" si="46"/>
        <v>0</v>
      </c>
      <c r="BZ56" s="20"/>
      <c r="CA56" s="19"/>
      <c r="CB56" s="19">
        <f t="shared" si="47"/>
        <v>0</v>
      </c>
      <c r="CC56" s="20"/>
      <c r="CD56" s="21"/>
      <c r="CE56" s="22"/>
    </row>
    <row r="57" spans="1:83" ht="10.199999999999999" hidden="1" customHeight="1" x14ac:dyDescent="0.25">
      <c r="A57" s="13"/>
      <c r="B57" s="13"/>
      <c r="C57" s="13"/>
      <c r="D57" s="14"/>
      <c r="E57" s="135"/>
      <c r="F57" s="15"/>
      <c r="G57" s="16">
        <f t="shared" ca="1" si="23"/>
        <v>0</v>
      </c>
      <c r="H57" s="17"/>
      <c r="I57" s="18"/>
      <c r="J57" s="19"/>
      <c r="K57" s="19">
        <f t="shared" si="24"/>
        <v>0</v>
      </c>
      <c r="L57" s="20"/>
      <c r="M57" s="19"/>
      <c r="N57" s="19">
        <f t="shared" si="25"/>
        <v>0</v>
      </c>
      <c r="O57" s="20"/>
      <c r="P57" s="19"/>
      <c r="Q57" s="19">
        <f t="shared" si="26"/>
        <v>0</v>
      </c>
      <c r="R57" s="20"/>
      <c r="S57" s="19"/>
      <c r="T57" s="19">
        <f t="shared" si="27"/>
        <v>0</v>
      </c>
      <c r="U57" s="20"/>
      <c r="V57" s="19"/>
      <c r="W57" s="19">
        <f t="shared" si="28"/>
        <v>0</v>
      </c>
      <c r="X57" s="20"/>
      <c r="Y57" s="19"/>
      <c r="Z57" s="19">
        <f t="shared" si="29"/>
        <v>0</v>
      </c>
      <c r="AA57" s="20"/>
      <c r="AB57" s="19"/>
      <c r="AC57" s="19">
        <f t="shared" si="30"/>
        <v>0</v>
      </c>
      <c r="AD57" s="20"/>
      <c r="AE57" s="19"/>
      <c r="AF57" s="19">
        <f t="shared" si="31"/>
        <v>0</v>
      </c>
      <c r="AG57" s="20"/>
      <c r="AH57" s="19"/>
      <c r="AI57" s="19">
        <f t="shared" si="32"/>
        <v>0</v>
      </c>
      <c r="AJ57" s="20"/>
      <c r="AK57" s="19"/>
      <c r="AL57" s="19">
        <f t="shared" si="33"/>
        <v>0</v>
      </c>
      <c r="AM57" s="20"/>
      <c r="AN57" s="19"/>
      <c r="AO57" s="19">
        <f t="shared" si="34"/>
        <v>0</v>
      </c>
      <c r="AP57" s="20"/>
      <c r="AQ57" s="19"/>
      <c r="AR57" s="19">
        <f t="shared" si="35"/>
        <v>0</v>
      </c>
      <c r="AS57" s="20"/>
      <c r="AT57" s="19"/>
      <c r="AU57" s="19">
        <f t="shared" si="36"/>
        <v>0</v>
      </c>
      <c r="AV57" s="20"/>
      <c r="AW57" s="19"/>
      <c r="AX57" s="19">
        <f t="shared" si="37"/>
        <v>0</v>
      </c>
      <c r="AY57" s="20"/>
      <c r="AZ57" s="19"/>
      <c r="BA57" s="19"/>
      <c r="BB57" s="20"/>
      <c r="BC57" s="19"/>
      <c r="BD57" s="19">
        <f t="shared" si="39"/>
        <v>0</v>
      </c>
      <c r="BE57" s="20"/>
      <c r="BF57" s="19"/>
      <c r="BG57" s="19">
        <f t="shared" si="40"/>
        <v>0</v>
      </c>
      <c r="BH57" s="20"/>
      <c r="BI57" s="19"/>
      <c r="BJ57" s="19">
        <f t="shared" si="41"/>
        <v>0</v>
      </c>
      <c r="BK57" s="20"/>
      <c r="BL57" s="19"/>
      <c r="BM57" s="19">
        <f t="shared" si="42"/>
        <v>0</v>
      </c>
      <c r="BN57" s="20"/>
      <c r="BO57" s="19"/>
      <c r="BP57" s="19">
        <f t="shared" si="43"/>
        <v>0</v>
      </c>
      <c r="BQ57" s="20"/>
      <c r="BR57" s="19"/>
      <c r="BS57" s="19">
        <f t="shared" si="44"/>
        <v>0</v>
      </c>
      <c r="BT57" s="20"/>
      <c r="BU57" s="19"/>
      <c r="BV57" s="19">
        <f t="shared" si="45"/>
        <v>0</v>
      </c>
      <c r="BW57" s="20"/>
      <c r="BX57" s="19"/>
      <c r="BY57" s="19">
        <f t="shared" si="46"/>
        <v>0</v>
      </c>
      <c r="BZ57" s="20"/>
      <c r="CA57" s="19"/>
      <c r="CB57" s="19">
        <f t="shared" si="47"/>
        <v>0</v>
      </c>
      <c r="CC57" s="20"/>
      <c r="CD57" s="21"/>
      <c r="CE57" s="22"/>
    </row>
    <row r="58" spans="1:83" ht="10.199999999999999" hidden="1" customHeight="1" x14ac:dyDescent="0.25">
      <c r="A58" s="13"/>
      <c r="B58" s="13"/>
      <c r="C58" s="13"/>
      <c r="D58" s="14"/>
      <c r="E58" s="135"/>
      <c r="F58" s="15"/>
      <c r="G58" s="16">
        <f t="shared" ca="1" si="23"/>
        <v>0</v>
      </c>
      <c r="H58" s="17"/>
      <c r="I58" s="18"/>
      <c r="J58" s="19"/>
      <c r="K58" s="19">
        <f t="shared" si="24"/>
        <v>0</v>
      </c>
      <c r="L58" s="20"/>
      <c r="M58" s="19"/>
      <c r="N58" s="19">
        <f t="shared" si="25"/>
        <v>0</v>
      </c>
      <c r="O58" s="20"/>
      <c r="P58" s="19"/>
      <c r="Q58" s="19">
        <f t="shared" si="26"/>
        <v>0</v>
      </c>
      <c r="R58" s="20"/>
      <c r="S58" s="19"/>
      <c r="T58" s="19">
        <f t="shared" si="27"/>
        <v>0</v>
      </c>
      <c r="U58" s="20"/>
      <c r="V58" s="19"/>
      <c r="W58" s="19">
        <f t="shared" si="28"/>
        <v>0</v>
      </c>
      <c r="X58" s="20"/>
      <c r="Y58" s="19"/>
      <c r="Z58" s="19">
        <f t="shared" si="29"/>
        <v>0</v>
      </c>
      <c r="AA58" s="20"/>
      <c r="AB58" s="19"/>
      <c r="AC58" s="19">
        <f t="shared" si="30"/>
        <v>0</v>
      </c>
      <c r="AD58" s="20"/>
      <c r="AE58" s="19"/>
      <c r="AF58" s="19">
        <f t="shared" si="31"/>
        <v>0</v>
      </c>
      <c r="AG58" s="20"/>
      <c r="AH58" s="19"/>
      <c r="AI58" s="19">
        <f t="shared" si="32"/>
        <v>0</v>
      </c>
      <c r="AJ58" s="20"/>
      <c r="AK58" s="19"/>
      <c r="AL58" s="19">
        <f t="shared" si="33"/>
        <v>0</v>
      </c>
      <c r="AM58" s="20"/>
      <c r="AN58" s="19"/>
      <c r="AO58" s="19">
        <f t="shared" si="34"/>
        <v>0</v>
      </c>
      <c r="AP58" s="20"/>
      <c r="AQ58" s="19"/>
      <c r="AR58" s="19">
        <f t="shared" si="35"/>
        <v>0</v>
      </c>
      <c r="AS58" s="20"/>
      <c r="AT58" s="19"/>
      <c r="AU58" s="19">
        <f t="shared" si="36"/>
        <v>0</v>
      </c>
      <c r="AV58" s="20"/>
      <c r="AW58" s="19"/>
      <c r="AX58" s="19">
        <f t="shared" si="37"/>
        <v>0</v>
      </c>
      <c r="AY58" s="20"/>
      <c r="AZ58" s="19"/>
      <c r="BA58" s="19"/>
      <c r="BB58" s="20"/>
      <c r="BC58" s="19"/>
      <c r="BD58" s="19">
        <f t="shared" si="39"/>
        <v>0</v>
      </c>
      <c r="BE58" s="20"/>
      <c r="BF58" s="19"/>
      <c r="BG58" s="19">
        <f t="shared" si="40"/>
        <v>0</v>
      </c>
      <c r="BH58" s="20"/>
      <c r="BI58" s="19"/>
      <c r="BJ58" s="19">
        <f t="shared" si="41"/>
        <v>0</v>
      </c>
      <c r="BK58" s="20"/>
      <c r="BL58" s="19"/>
      <c r="BM58" s="19">
        <f t="shared" si="42"/>
        <v>0</v>
      </c>
      <c r="BN58" s="20"/>
      <c r="BO58" s="19"/>
      <c r="BP58" s="19">
        <f t="shared" si="43"/>
        <v>0</v>
      </c>
      <c r="BQ58" s="20"/>
      <c r="BR58" s="19"/>
      <c r="BS58" s="19">
        <f t="shared" si="44"/>
        <v>0</v>
      </c>
      <c r="BT58" s="20"/>
      <c r="BU58" s="19"/>
      <c r="BV58" s="19">
        <f t="shared" si="45"/>
        <v>0</v>
      </c>
      <c r="BW58" s="20"/>
      <c r="BX58" s="19"/>
      <c r="BY58" s="19">
        <f t="shared" si="46"/>
        <v>0</v>
      </c>
      <c r="BZ58" s="20"/>
      <c r="CA58" s="19"/>
      <c r="CB58" s="19">
        <f t="shared" si="47"/>
        <v>0</v>
      </c>
      <c r="CC58" s="20"/>
      <c r="CD58" s="21"/>
      <c r="CE58" s="22"/>
    </row>
    <row r="59" spans="1:83" ht="10.199999999999999" hidden="1" customHeight="1" x14ac:dyDescent="0.25">
      <c r="A59" s="13"/>
      <c r="B59" s="13"/>
      <c r="C59" s="13"/>
      <c r="D59" s="14"/>
      <c r="E59" s="135"/>
      <c r="F59" s="15"/>
      <c r="G59" s="16">
        <f t="shared" ca="1" si="23"/>
        <v>0</v>
      </c>
      <c r="H59" s="17"/>
      <c r="I59" s="18"/>
      <c r="J59" s="19"/>
      <c r="K59" s="19">
        <f t="shared" si="24"/>
        <v>0</v>
      </c>
      <c r="L59" s="20"/>
      <c r="M59" s="19"/>
      <c r="N59" s="19">
        <f t="shared" si="25"/>
        <v>0</v>
      </c>
      <c r="O59" s="20"/>
      <c r="P59" s="19"/>
      <c r="Q59" s="19">
        <f t="shared" si="26"/>
        <v>0</v>
      </c>
      <c r="R59" s="20"/>
      <c r="S59" s="19"/>
      <c r="T59" s="19">
        <f t="shared" si="27"/>
        <v>0</v>
      </c>
      <c r="U59" s="20"/>
      <c r="V59" s="19"/>
      <c r="W59" s="19">
        <f t="shared" si="28"/>
        <v>0</v>
      </c>
      <c r="X59" s="20"/>
      <c r="Y59" s="19"/>
      <c r="Z59" s="19">
        <f t="shared" si="29"/>
        <v>0</v>
      </c>
      <c r="AA59" s="20"/>
      <c r="AB59" s="19"/>
      <c r="AC59" s="19">
        <f t="shared" si="30"/>
        <v>0</v>
      </c>
      <c r="AD59" s="20"/>
      <c r="AE59" s="19"/>
      <c r="AF59" s="19">
        <f t="shared" si="31"/>
        <v>0</v>
      </c>
      <c r="AG59" s="20"/>
      <c r="AH59" s="19"/>
      <c r="AI59" s="19">
        <f t="shared" si="32"/>
        <v>0</v>
      </c>
      <c r="AJ59" s="20"/>
      <c r="AK59" s="19"/>
      <c r="AL59" s="19">
        <f t="shared" si="33"/>
        <v>0</v>
      </c>
      <c r="AM59" s="20"/>
      <c r="AN59" s="19"/>
      <c r="AO59" s="19">
        <f t="shared" si="34"/>
        <v>0</v>
      </c>
      <c r="AP59" s="20"/>
      <c r="AQ59" s="19"/>
      <c r="AR59" s="19">
        <f t="shared" si="35"/>
        <v>0</v>
      </c>
      <c r="AS59" s="20"/>
      <c r="AT59" s="19"/>
      <c r="AU59" s="19">
        <f t="shared" si="36"/>
        <v>0</v>
      </c>
      <c r="AV59" s="20"/>
      <c r="AW59" s="19"/>
      <c r="AX59" s="19">
        <f t="shared" si="37"/>
        <v>0</v>
      </c>
      <c r="AY59" s="20"/>
      <c r="AZ59" s="19"/>
      <c r="BA59" s="19"/>
      <c r="BB59" s="20"/>
      <c r="BC59" s="19"/>
      <c r="BD59" s="19">
        <f t="shared" si="39"/>
        <v>0</v>
      </c>
      <c r="BE59" s="20"/>
      <c r="BF59" s="19"/>
      <c r="BG59" s="19">
        <f t="shared" si="40"/>
        <v>0</v>
      </c>
      <c r="BH59" s="20"/>
      <c r="BI59" s="19"/>
      <c r="BJ59" s="19">
        <f t="shared" si="41"/>
        <v>0</v>
      </c>
      <c r="BK59" s="20"/>
      <c r="BL59" s="19"/>
      <c r="BM59" s="19">
        <f t="shared" si="42"/>
        <v>0</v>
      </c>
      <c r="BN59" s="20"/>
      <c r="BO59" s="19"/>
      <c r="BP59" s="19">
        <f t="shared" si="43"/>
        <v>0</v>
      </c>
      <c r="BQ59" s="20"/>
      <c r="BR59" s="19"/>
      <c r="BS59" s="19">
        <f t="shared" si="44"/>
        <v>0</v>
      </c>
      <c r="BT59" s="20"/>
      <c r="BU59" s="19"/>
      <c r="BV59" s="19">
        <f t="shared" si="45"/>
        <v>0</v>
      </c>
      <c r="BW59" s="20"/>
      <c r="BX59" s="19"/>
      <c r="BY59" s="19">
        <f t="shared" si="46"/>
        <v>0</v>
      </c>
      <c r="BZ59" s="20"/>
      <c r="CA59" s="19"/>
      <c r="CB59" s="19">
        <f t="shared" si="47"/>
        <v>0</v>
      </c>
      <c r="CC59" s="20"/>
      <c r="CD59" s="21"/>
      <c r="CE59" s="22"/>
    </row>
    <row r="60" spans="1:83" ht="10.199999999999999" hidden="1" customHeight="1" x14ac:dyDescent="0.25">
      <c r="A60" s="13"/>
      <c r="B60" s="13"/>
      <c r="C60" s="13"/>
      <c r="D60" s="14"/>
      <c r="E60" s="135"/>
      <c r="F60" s="15"/>
      <c r="G60" s="16">
        <f t="shared" ca="1" si="23"/>
        <v>0</v>
      </c>
      <c r="H60" s="17"/>
      <c r="I60" s="18"/>
      <c r="J60" s="19"/>
      <c r="K60" s="19">
        <f t="shared" si="24"/>
        <v>0</v>
      </c>
      <c r="L60" s="20"/>
      <c r="M60" s="19"/>
      <c r="N60" s="19">
        <f t="shared" si="25"/>
        <v>0</v>
      </c>
      <c r="O60" s="20"/>
      <c r="P60" s="19"/>
      <c r="Q60" s="19">
        <f t="shared" si="26"/>
        <v>0</v>
      </c>
      <c r="R60" s="20"/>
      <c r="S60" s="19"/>
      <c r="T60" s="19">
        <f t="shared" si="27"/>
        <v>0</v>
      </c>
      <c r="U60" s="20"/>
      <c r="V60" s="19"/>
      <c r="W60" s="19">
        <f t="shared" si="28"/>
        <v>0</v>
      </c>
      <c r="X60" s="20"/>
      <c r="Y60" s="19"/>
      <c r="Z60" s="19">
        <f t="shared" si="29"/>
        <v>0</v>
      </c>
      <c r="AA60" s="20"/>
      <c r="AB60" s="19"/>
      <c r="AC60" s="19">
        <f t="shared" si="30"/>
        <v>0</v>
      </c>
      <c r="AD60" s="20"/>
      <c r="AE60" s="19"/>
      <c r="AF60" s="19">
        <f t="shared" si="31"/>
        <v>0</v>
      </c>
      <c r="AG60" s="20"/>
      <c r="AH60" s="19"/>
      <c r="AI60" s="19">
        <f t="shared" si="32"/>
        <v>0</v>
      </c>
      <c r="AJ60" s="20"/>
      <c r="AK60" s="19"/>
      <c r="AL60" s="19">
        <f t="shared" si="33"/>
        <v>0</v>
      </c>
      <c r="AM60" s="20"/>
      <c r="AN60" s="19"/>
      <c r="AO60" s="19">
        <f t="shared" si="34"/>
        <v>0</v>
      </c>
      <c r="AP60" s="20"/>
      <c r="AQ60" s="19"/>
      <c r="AR60" s="19">
        <f t="shared" si="35"/>
        <v>0</v>
      </c>
      <c r="AS60" s="20"/>
      <c r="AT60" s="19"/>
      <c r="AU60" s="19">
        <f t="shared" si="36"/>
        <v>0</v>
      </c>
      <c r="AV60" s="20"/>
      <c r="AW60" s="19"/>
      <c r="AX60" s="19">
        <f t="shared" si="37"/>
        <v>0</v>
      </c>
      <c r="AY60" s="20"/>
      <c r="AZ60" s="19"/>
      <c r="BA60" s="19"/>
      <c r="BB60" s="20"/>
      <c r="BC60" s="19"/>
      <c r="BD60" s="19">
        <f t="shared" si="39"/>
        <v>0</v>
      </c>
      <c r="BE60" s="20"/>
      <c r="BF60" s="19"/>
      <c r="BG60" s="19">
        <f t="shared" si="40"/>
        <v>0</v>
      </c>
      <c r="BH60" s="20"/>
      <c r="BI60" s="19"/>
      <c r="BJ60" s="19">
        <f t="shared" si="41"/>
        <v>0</v>
      </c>
      <c r="BK60" s="20"/>
      <c r="BL60" s="19"/>
      <c r="BM60" s="19">
        <f t="shared" si="42"/>
        <v>0</v>
      </c>
      <c r="BN60" s="20"/>
      <c r="BO60" s="19"/>
      <c r="BP60" s="19">
        <f t="shared" si="43"/>
        <v>0</v>
      </c>
      <c r="BQ60" s="20"/>
      <c r="BR60" s="19"/>
      <c r="BS60" s="19">
        <f t="shared" si="44"/>
        <v>0</v>
      </c>
      <c r="BT60" s="20"/>
      <c r="BU60" s="19"/>
      <c r="BV60" s="19">
        <f t="shared" si="45"/>
        <v>0</v>
      </c>
      <c r="BW60" s="20"/>
      <c r="BX60" s="19"/>
      <c r="BY60" s="19">
        <f t="shared" si="46"/>
        <v>0</v>
      </c>
      <c r="BZ60" s="20"/>
      <c r="CA60" s="19"/>
      <c r="CB60" s="19">
        <f t="shared" si="47"/>
        <v>0</v>
      </c>
      <c r="CC60" s="20"/>
      <c r="CD60" s="21"/>
      <c r="CE60" s="22"/>
    </row>
    <row r="61" spans="1:83" ht="10.199999999999999" hidden="1" customHeight="1" x14ac:dyDescent="0.25">
      <c r="A61" s="13"/>
      <c r="B61" s="13"/>
      <c r="C61" s="13"/>
      <c r="D61" s="14"/>
      <c r="E61" s="135"/>
      <c r="F61" s="15"/>
      <c r="G61" s="16">
        <f t="shared" ca="1" si="23"/>
        <v>0</v>
      </c>
      <c r="H61" s="17"/>
      <c r="I61" s="18"/>
      <c r="J61" s="19"/>
      <c r="K61" s="19">
        <f t="shared" si="24"/>
        <v>0</v>
      </c>
      <c r="L61" s="20"/>
      <c r="M61" s="19"/>
      <c r="N61" s="19">
        <f t="shared" si="25"/>
        <v>0</v>
      </c>
      <c r="O61" s="20"/>
      <c r="P61" s="19"/>
      <c r="Q61" s="19">
        <f t="shared" si="26"/>
        <v>0</v>
      </c>
      <c r="R61" s="20"/>
      <c r="S61" s="19"/>
      <c r="T61" s="19">
        <f t="shared" si="27"/>
        <v>0</v>
      </c>
      <c r="U61" s="20"/>
      <c r="V61" s="19"/>
      <c r="W61" s="19">
        <f t="shared" si="28"/>
        <v>0</v>
      </c>
      <c r="X61" s="20"/>
      <c r="Y61" s="19"/>
      <c r="Z61" s="19">
        <f t="shared" si="29"/>
        <v>0</v>
      </c>
      <c r="AA61" s="20"/>
      <c r="AB61" s="19"/>
      <c r="AC61" s="19">
        <f t="shared" si="30"/>
        <v>0</v>
      </c>
      <c r="AD61" s="20"/>
      <c r="AE61" s="19"/>
      <c r="AF61" s="19">
        <f t="shared" si="31"/>
        <v>0</v>
      </c>
      <c r="AG61" s="20"/>
      <c r="AH61" s="19"/>
      <c r="AI61" s="19">
        <f t="shared" si="32"/>
        <v>0</v>
      </c>
      <c r="AJ61" s="20"/>
      <c r="AK61" s="19"/>
      <c r="AL61" s="19">
        <f t="shared" si="33"/>
        <v>0</v>
      </c>
      <c r="AM61" s="20"/>
      <c r="AN61" s="19"/>
      <c r="AO61" s="19">
        <f t="shared" si="34"/>
        <v>0</v>
      </c>
      <c r="AP61" s="20"/>
      <c r="AQ61" s="19"/>
      <c r="AR61" s="19">
        <f t="shared" si="35"/>
        <v>0</v>
      </c>
      <c r="AS61" s="20"/>
      <c r="AT61" s="19"/>
      <c r="AU61" s="19">
        <f t="shared" si="36"/>
        <v>0</v>
      </c>
      <c r="AV61" s="20"/>
      <c r="AW61" s="19"/>
      <c r="AX61" s="19">
        <f t="shared" si="37"/>
        <v>0</v>
      </c>
      <c r="AY61" s="20"/>
      <c r="AZ61" s="19"/>
      <c r="BA61" s="19"/>
      <c r="BB61" s="20"/>
      <c r="BC61" s="19"/>
      <c r="BD61" s="19">
        <f t="shared" si="39"/>
        <v>0</v>
      </c>
      <c r="BE61" s="20"/>
      <c r="BF61" s="19"/>
      <c r="BG61" s="19">
        <f t="shared" si="40"/>
        <v>0</v>
      </c>
      <c r="BH61" s="20"/>
      <c r="BI61" s="19"/>
      <c r="BJ61" s="19">
        <f t="shared" si="41"/>
        <v>0</v>
      </c>
      <c r="BK61" s="20"/>
      <c r="BL61" s="19"/>
      <c r="BM61" s="19">
        <f t="shared" si="42"/>
        <v>0</v>
      </c>
      <c r="BN61" s="20"/>
      <c r="BO61" s="19"/>
      <c r="BP61" s="19">
        <f t="shared" si="43"/>
        <v>0</v>
      </c>
      <c r="BQ61" s="20"/>
      <c r="BR61" s="19"/>
      <c r="BS61" s="19">
        <f t="shared" si="44"/>
        <v>0</v>
      </c>
      <c r="BT61" s="20"/>
      <c r="BU61" s="19"/>
      <c r="BV61" s="19">
        <f t="shared" si="45"/>
        <v>0</v>
      </c>
      <c r="BW61" s="20"/>
      <c r="BX61" s="19"/>
      <c r="BY61" s="19">
        <f t="shared" si="46"/>
        <v>0</v>
      </c>
      <c r="BZ61" s="20"/>
      <c r="CA61" s="19"/>
      <c r="CB61" s="19">
        <f t="shared" si="47"/>
        <v>0</v>
      </c>
      <c r="CC61" s="20"/>
      <c r="CD61" s="21"/>
      <c r="CE61" s="22"/>
    </row>
    <row r="62" spans="1:83" ht="10.199999999999999" hidden="1" customHeight="1" x14ac:dyDescent="0.25">
      <c r="A62" s="13"/>
      <c r="B62" s="13"/>
      <c r="C62" s="13"/>
      <c r="D62" s="14"/>
      <c r="E62" s="135"/>
      <c r="F62" s="15"/>
      <c r="G62" s="16">
        <f t="shared" ca="1" si="23"/>
        <v>0</v>
      </c>
      <c r="H62" s="17"/>
      <c r="I62" s="18"/>
      <c r="J62" s="19"/>
      <c r="K62" s="19">
        <f t="shared" si="24"/>
        <v>0</v>
      </c>
      <c r="L62" s="20"/>
      <c r="M62" s="19"/>
      <c r="N62" s="19">
        <f t="shared" si="25"/>
        <v>0</v>
      </c>
      <c r="O62" s="20"/>
      <c r="P62" s="19"/>
      <c r="Q62" s="19">
        <f t="shared" si="26"/>
        <v>0</v>
      </c>
      <c r="R62" s="20"/>
      <c r="S62" s="19"/>
      <c r="T62" s="19">
        <f t="shared" si="27"/>
        <v>0</v>
      </c>
      <c r="U62" s="20"/>
      <c r="V62" s="19"/>
      <c r="W62" s="19">
        <f t="shared" si="28"/>
        <v>0</v>
      </c>
      <c r="X62" s="20"/>
      <c r="Y62" s="19"/>
      <c r="Z62" s="19">
        <f t="shared" si="29"/>
        <v>0</v>
      </c>
      <c r="AA62" s="20"/>
      <c r="AB62" s="19"/>
      <c r="AC62" s="19">
        <f t="shared" si="30"/>
        <v>0</v>
      </c>
      <c r="AD62" s="20"/>
      <c r="AE62" s="19"/>
      <c r="AF62" s="19">
        <f t="shared" si="31"/>
        <v>0</v>
      </c>
      <c r="AG62" s="20"/>
      <c r="AH62" s="19"/>
      <c r="AI62" s="19">
        <f t="shared" si="32"/>
        <v>0</v>
      </c>
      <c r="AJ62" s="20"/>
      <c r="AK62" s="19"/>
      <c r="AL62" s="19">
        <f t="shared" si="33"/>
        <v>0</v>
      </c>
      <c r="AM62" s="20"/>
      <c r="AN62" s="19"/>
      <c r="AO62" s="19">
        <f t="shared" si="34"/>
        <v>0</v>
      </c>
      <c r="AP62" s="20"/>
      <c r="AQ62" s="19"/>
      <c r="AR62" s="19">
        <f t="shared" si="35"/>
        <v>0</v>
      </c>
      <c r="AS62" s="20"/>
      <c r="AT62" s="19"/>
      <c r="AU62" s="19">
        <f t="shared" si="36"/>
        <v>0</v>
      </c>
      <c r="AV62" s="20"/>
      <c r="AW62" s="19"/>
      <c r="AX62" s="19">
        <f t="shared" si="37"/>
        <v>0</v>
      </c>
      <c r="AY62" s="20"/>
      <c r="AZ62" s="19"/>
      <c r="BA62" s="19"/>
      <c r="BB62" s="20"/>
      <c r="BC62" s="19"/>
      <c r="BD62" s="19">
        <f t="shared" si="39"/>
        <v>0</v>
      </c>
      <c r="BE62" s="20"/>
      <c r="BF62" s="19"/>
      <c r="BG62" s="19">
        <f t="shared" si="40"/>
        <v>0</v>
      </c>
      <c r="BH62" s="20"/>
      <c r="BI62" s="19"/>
      <c r="BJ62" s="19">
        <f t="shared" si="41"/>
        <v>0</v>
      </c>
      <c r="BK62" s="20"/>
      <c r="BL62" s="19"/>
      <c r="BM62" s="19">
        <f t="shared" si="42"/>
        <v>0</v>
      </c>
      <c r="BN62" s="20"/>
      <c r="BO62" s="19"/>
      <c r="BP62" s="19">
        <f t="shared" si="43"/>
        <v>0</v>
      </c>
      <c r="BQ62" s="20"/>
      <c r="BR62" s="19"/>
      <c r="BS62" s="19">
        <f t="shared" si="44"/>
        <v>0</v>
      </c>
      <c r="BT62" s="20"/>
      <c r="BU62" s="19"/>
      <c r="BV62" s="19">
        <f t="shared" si="45"/>
        <v>0</v>
      </c>
      <c r="BW62" s="20"/>
      <c r="BX62" s="19"/>
      <c r="BY62" s="19">
        <f t="shared" si="46"/>
        <v>0</v>
      </c>
      <c r="BZ62" s="20"/>
      <c r="CA62" s="19"/>
      <c r="CB62" s="19">
        <f t="shared" si="47"/>
        <v>0</v>
      </c>
      <c r="CC62" s="20"/>
      <c r="CD62" s="21"/>
      <c r="CE62" s="22"/>
    </row>
    <row r="63" spans="1:83" ht="10.199999999999999" hidden="1" customHeight="1" x14ac:dyDescent="0.25">
      <c r="A63" s="13"/>
      <c r="B63" s="13"/>
      <c r="C63" s="13"/>
      <c r="D63" s="14"/>
      <c r="E63" s="135"/>
      <c r="F63" s="15"/>
      <c r="G63" s="16">
        <f t="shared" ca="1" si="23"/>
        <v>0</v>
      </c>
      <c r="H63" s="17"/>
      <c r="I63" s="18"/>
      <c r="J63" s="19"/>
      <c r="K63" s="19">
        <f t="shared" si="24"/>
        <v>0</v>
      </c>
      <c r="L63" s="20"/>
      <c r="M63" s="19"/>
      <c r="N63" s="19">
        <f t="shared" si="25"/>
        <v>0</v>
      </c>
      <c r="O63" s="20"/>
      <c r="P63" s="19"/>
      <c r="Q63" s="19">
        <f t="shared" si="26"/>
        <v>0</v>
      </c>
      <c r="R63" s="20"/>
      <c r="S63" s="19"/>
      <c r="T63" s="19">
        <f t="shared" si="27"/>
        <v>0</v>
      </c>
      <c r="U63" s="20"/>
      <c r="V63" s="19"/>
      <c r="W63" s="19">
        <f t="shared" si="28"/>
        <v>0</v>
      </c>
      <c r="X63" s="20"/>
      <c r="Y63" s="19"/>
      <c r="Z63" s="19">
        <f t="shared" si="29"/>
        <v>0</v>
      </c>
      <c r="AA63" s="20"/>
      <c r="AB63" s="19"/>
      <c r="AC63" s="19">
        <f t="shared" si="30"/>
        <v>0</v>
      </c>
      <c r="AD63" s="20"/>
      <c r="AE63" s="19"/>
      <c r="AF63" s="19">
        <f t="shared" si="31"/>
        <v>0</v>
      </c>
      <c r="AG63" s="20"/>
      <c r="AH63" s="19"/>
      <c r="AI63" s="19">
        <f t="shared" si="32"/>
        <v>0</v>
      </c>
      <c r="AJ63" s="20"/>
      <c r="AK63" s="19"/>
      <c r="AL63" s="19">
        <f t="shared" si="33"/>
        <v>0</v>
      </c>
      <c r="AM63" s="20"/>
      <c r="AN63" s="19"/>
      <c r="AO63" s="19">
        <f t="shared" si="34"/>
        <v>0</v>
      </c>
      <c r="AP63" s="20"/>
      <c r="AQ63" s="19"/>
      <c r="AR63" s="19">
        <f t="shared" si="35"/>
        <v>0</v>
      </c>
      <c r="AS63" s="20"/>
      <c r="AT63" s="19"/>
      <c r="AU63" s="19">
        <f t="shared" si="36"/>
        <v>0</v>
      </c>
      <c r="AV63" s="20"/>
      <c r="AW63" s="19"/>
      <c r="AX63" s="19">
        <f t="shared" si="37"/>
        <v>0</v>
      </c>
      <c r="AY63" s="20"/>
      <c r="AZ63" s="19"/>
      <c r="BA63" s="19"/>
      <c r="BB63" s="20"/>
      <c r="BC63" s="19"/>
      <c r="BD63" s="19">
        <f t="shared" si="39"/>
        <v>0</v>
      </c>
      <c r="BE63" s="20"/>
      <c r="BF63" s="19"/>
      <c r="BG63" s="19">
        <f t="shared" si="40"/>
        <v>0</v>
      </c>
      <c r="BH63" s="20"/>
      <c r="BI63" s="19"/>
      <c r="BJ63" s="19">
        <f t="shared" si="41"/>
        <v>0</v>
      </c>
      <c r="BK63" s="20"/>
      <c r="BL63" s="19"/>
      <c r="BM63" s="19">
        <f t="shared" si="42"/>
        <v>0</v>
      </c>
      <c r="BN63" s="20"/>
      <c r="BO63" s="19"/>
      <c r="BP63" s="19">
        <f t="shared" si="43"/>
        <v>0</v>
      </c>
      <c r="BQ63" s="20"/>
      <c r="BR63" s="19"/>
      <c r="BS63" s="19">
        <f t="shared" si="44"/>
        <v>0</v>
      </c>
      <c r="BT63" s="20"/>
      <c r="BU63" s="19"/>
      <c r="BV63" s="19">
        <f t="shared" si="45"/>
        <v>0</v>
      </c>
      <c r="BW63" s="20"/>
      <c r="BX63" s="19"/>
      <c r="BY63" s="19">
        <f t="shared" si="46"/>
        <v>0</v>
      </c>
      <c r="BZ63" s="20"/>
      <c r="CA63" s="19"/>
      <c r="CB63" s="19">
        <f t="shared" si="47"/>
        <v>0</v>
      </c>
      <c r="CC63" s="20"/>
      <c r="CD63" s="21"/>
      <c r="CE63" s="22"/>
    </row>
    <row r="64" spans="1:83" ht="10.199999999999999" hidden="1" customHeight="1" x14ac:dyDescent="0.25">
      <c r="A64" s="13"/>
      <c r="B64" s="13"/>
      <c r="C64" s="13"/>
      <c r="D64" s="14"/>
      <c r="E64" s="135"/>
      <c r="F64" s="15"/>
      <c r="G64" s="16">
        <f t="shared" ca="1" si="23"/>
        <v>0</v>
      </c>
      <c r="H64" s="17"/>
      <c r="I64" s="18"/>
      <c r="J64" s="19"/>
      <c r="K64" s="19">
        <f t="shared" si="24"/>
        <v>0</v>
      </c>
      <c r="L64" s="20"/>
      <c r="M64" s="19"/>
      <c r="N64" s="19">
        <f t="shared" si="25"/>
        <v>0</v>
      </c>
      <c r="O64" s="20"/>
      <c r="P64" s="19"/>
      <c r="Q64" s="19">
        <f t="shared" si="26"/>
        <v>0</v>
      </c>
      <c r="R64" s="20"/>
      <c r="S64" s="19"/>
      <c r="T64" s="19">
        <f t="shared" si="27"/>
        <v>0</v>
      </c>
      <c r="U64" s="20"/>
      <c r="V64" s="19"/>
      <c r="W64" s="19">
        <f t="shared" si="28"/>
        <v>0</v>
      </c>
      <c r="X64" s="20"/>
      <c r="Y64" s="19"/>
      <c r="Z64" s="19">
        <f t="shared" si="29"/>
        <v>0</v>
      </c>
      <c r="AA64" s="20"/>
      <c r="AB64" s="19"/>
      <c r="AC64" s="19">
        <f t="shared" si="30"/>
        <v>0</v>
      </c>
      <c r="AD64" s="20"/>
      <c r="AE64" s="19"/>
      <c r="AF64" s="19">
        <f t="shared" si="31"/>
        <v>0</v>
      </c>
      <c r="AG64" s="20"/>
      <c r="AH64" s="19"/>
      <c r="AI64" s="19">
        <f t="shared" si="32"/>
        <v>0</v>
      </c>
      <c r="AJ64" s="20"/>
      <c r="AK64" s="19"/>
      <c r="AL64" s="19">
        <f t="shared" si="33"/>
        <v>0</v>
      </c>
      <c r="AM64" s="20"/>
      <c r="AN64" s="19"/>
      <c r="AO64" s="19">
        <f t="shared" si="34"/>
        <v>0</v>
      </c>
      <c r="AP64" s="20"/>
      <c r="AQ64" s="19"/>
      <c r="AR64" s="19">
        <f t="shared" si="35"/>
        <v>0</v>
      </c>
      <c r="AS64" s="20"/>
      <c r="AT64" s="19"/>
      <c r="AU64" s="19">
        <f t="shared" si="36"/>
        <v>0</v>
      </c>
      <c r="AV64" s="20"/>
      <c r="AW64" s="19"/>
      <c r="AX64" s="19">
        <f t="shared" si="37"/>
        <v>0</v>
      </c>
      <c r="AY64" s="20"/>
      <c r="AZ64" s="19"/>
      <c r="BA64" s="19"/>
      <c r="BB64" s="20"/>
      <c r="BC64" s="19"/>
      <c r="BD64" s="19">
        <f t="shared" si="39"/>
        <v>0</v>
      </c>
      <c r="BE64" s="20"/>
      <c r="BF64" s="19"/>
      <c r="BG64" s="19">
        <f t="shared" si="40"/>
        <v>0</v>
      </c>
      <c r="BH64" s="20"/>
      <c r="BI64" s="19"/>
      <c r="BJ64" s="19">
        <f t="shared" si="41"/>
        <v>0</v>
      </c>
      <c r="BK64" s="20"/>
      <c r="BL64" s="19"/>
      <c r="BM64" s="19">
        <f t="shared" si="42"/>
        <v>0</v>
      </c>
      <c r="BN64" s="20"/>
      <c r="BO64" s="19"/>
      <c r="BP64" s="19">
        <f t="shared" si="43"/>
        <v>0</v>
      </c>
      <c r="BQ64" s="20"/>
      <c r="BR64" s="19"/>
      <c r="BS64" s="19">
        <f t="shared" si="44"/>
        <v>0</v>
      </c>
      <c r="BT64" s="20"/>
      <c r="BU64" s="19"/>
      <c r="BV64" s="19">
        <f t="shared" si="45"/>
        <v>0</v>
      </c>
      <c r="BW64" s="20"/>
      <c r="BX64" s="19"/>
      <c r="BY64" s="19">
        <f t="shared" si="46"/>
        <v>0</v>
      </c>
      <c r="BZ64" s="20"/>
      <c r="CA64" s="19"/>
      <c r="CB64" s="19">
        <f t="shared" si="47"/>
        <v>0</v>
      </c>
      <c r="CC64" s="20"/>
      <c r="CD64" s="21"/>
      <c r="CE64" s="22"/>
    </row>
    <row r="65" spans="1:83" ht="10.199999999999999" hidden="1" customHeight="1" x14ac:dyDescent="0.25">
      <c r="A65" s="13"/>
      <c r="B65" s="13"/>
      <c r="C65" s="13"/>
      <c r="D65" s="14"/>
      <c r="E65" s="135"/>
      <c r="F65" s="15"/>
      <c r="G65" s="16">
        <f t="shared" ca="1" si="23"/>
        <v>0</v>
      </c>
      <c r="H65" s="17"/>
      <c r="I65" s="18"/>
      <c r="J65" s="19"/>
      <c r="K65" s="19">
        <f t="shared" si="24"/>
        <v>0</v>
      </c>
      <c r="L65" s="20"/>
      <c r="M65" s="19"/>
      <c r="N65" s="19">
        <f t="shared" si="25"/>
        <v>0</v>
      </c>
      <c r="O65" s="20"/>
      <c r="P65" s="19"/>
      <c r="Q65" s="19">
        <f t="shared" si="26"/>
        <v>0</v>
      </c>
      <c r="R65" s="20"/>
      <c r="S65" s="19"/>
      <c r="T65" s="19">
        <f t="shared" si="27"/>
        <v>0</v>
      </c>
      <c r="U65" s="20"/>
      <c r="V65" s="19"/>
      <c r="W65" s="19">
        <f t="shared" si="28"/>
        <v>0</v>
      </c>
      <c r="X65" s="20"/>
      <c r="Y65" s="19"/>
      <c r="Z65" s="19">
        <f t="shared" si="29"/>
        <v>0</v>
      </c>
      <c r="AA65" s="20"/>
      <c r="AB65" s="19"/>
      <c r="AC65" s="19">
        <f t="shared" si="30"/>
        <v>0</v>
      </c>
      <c r="AD65" s="20"/>
      <c r="AE65" s="19"/>
      <c r="AF65" s="19">
        <f t="shared" si="31"/>
        <v>0</v>
      </c>
      <c r="AG65" s="20"/>
      <c r="AH65" s="19"/>
      <c r="AI65" s="19">
        <f t="shared" si="32"/>
        <v>0</v>
      </c>
      <c r="AJ65" s="20"/>
      <c r="AK65" s="19"/>
      <c r="AL65" s="19">
        <f t="shared" si="33"/>
        <v>0</v>
      </c>
      <c r="AM65" s="20"/>
      <c r="AN65" s="19"/>
      <c r="AO65" s="19">
        <f t="shared" si="34"/>
        <v>0</v>
      </c>
      <c r="AP65" s="20"/>
      <c r="AQ65" s="19"/>
      <c r="AR65" s="19">
        <f t="shared" si="35"/>
        <v>0</v>
      </c>
      <c r="AS65" s="20"/>
      <c r="AT65" s="19"/>
      <c r="AU65" s="19">
        <f t="shared" si="36"/>
        <v>0</v>
      </c>
      <c r="AV65" s="20"/>
      <c r="AW65" s="19"/>
      <c r="AX65" s="19">
        <f t="shared" si="37"/>
        <v>0</v>
      </c>
      <c r="AY65" s="20"/>
      <c r="AZ65" s="19"/>
      <c r="BA65" s="19"/>
      <c r="BB65" s="20"/>
      <c r="BC65" s="19"/>
      <c r="BD65" s="19">
        <f t="shared" si="39"/>
        <v>0</v>
      </c>
      <c r="BE65" s="20"/>
      <c r="BF65" s="19"/>
      <c r="BG65" s="19">
        <f t="shared" si="40"/>
        <v>0</v>
      </c>
      <c r="BH65" s="20"/>
      <c r="BI65" s="19"/>
      <c r="BJ65" s="19">
        <f t="shared" si="41"/>
        <v>0</v>
      </c>
      <c r="BK65" s="20"/>
      <c r="BL65" s="19"/>
      <c r="BM65" s="19">
        <f t="shared" si="42"/>
        <v>0</v>
      </c>
      <c r="BN65" s="20"/>
      <c r="BO65" s="19"/>
      <c r="BP65" s="19">
        <f t="shared" si="43"/>
        <v>0</v>
      </c>
      <c r="BQ65" s="20"/>
      <c r="BR65" s="19"/>
      <c r="BS65" s="19">
        <f t="shared" si="44"/>
        <v>0</v>
      </c>
      <c r="BT65" s="20"/>
      <c r="BU65" s="19"/>
      <c r="BV65" s="19">
        <f t="shared" si="45"/>
        <v>0</v>
      </c>
      <c r="BW65" s="20"/>
      <c r="BX65" s="19"/>
      <c r="BY65" s="19">
        <f t="shared" si="46"/>
        <v>0</v>
      </c>
      <c r="BZ65" s="20"/>
      <c r="CA65" s="19"/>
      <c r="CB65" s="19">
        <f t="shared" si="47"/>
        <v>0</v>
      </c>
      <c r="CC65" s="20"/>
      <c r="CD65" s="21"/>
      <c r="CE65" s="22"/>
    </row>
    <row r="66" spans="1:83" ht="10.199999999999999" hidden="1" customHeight="1" x14ac:dyDescent="0.25">
      <c r="A66" s="13"/>
      <c r="B66" s="13"/>
      <c r="C66" s="13"/>
      <c r="D66" s="14"/>
      <c r="E66" s="135"/>
      <c r="F66" s="15"/>
      <c r="G66" s="16">
        <f t="shared" ca="1" si="23"/>
        <v>0</v>
      </c>
      <c r="H66" s="17"/>
      <c r="I66" s="18"/>
      <c r="J66" s="19"/>
      <c r="K66" s="19">
        <f t="shared" ref="K66" si="192">MAX(I66-J66, 0)</f>
        <v>0</v>
      </c>
      <c r="L66" s="20"/>
      <c r="M66" s="19"/>
      <c r="N66" s="19">
        <f t="shared" ref="N66" si="193">MAX(K66-M66,0)</f>
        <v>0</v>
      </c>
      <c r="O66" s="20"/>
      <c r="P66" s="19"/>
      <c r="Q66" s="19">
        <f t="shared" ref="Q66" si="194">MAX(N66-P66,0)</f>
        <v>0</v>
      </c>
      <c r="R66" s="20"/>
      <c r="S66" s="19"/>
      <c r="T66" s="19">
        <f t="shared" ref="T66" si="195">MAX(Q66-S66,0)</f>
        <v>0</v>
      </c>
      <c r="U66" s="20"/>
      <c r="V66" s="19"/>
      <c r="W66" s="19">
        <f t="shared" ref="W66" si="196">MAX(T66-V66,0)</f>
        <v>0</v>
      </c>
      <c r="X66" s="20"/>
      <c r="Y66" s="19"/>
      <c r="Z66" s="19">
        <f t="shared" ref="Z66" si="197">MAX(W66-Y66,0)</f>
        <v>0</v>
      </c>
      <c r="AA66" s="20"/>
      <c r="AB66" s="19"/>
      <c r="AC66" s="19">
        <f t="shared" ref="AC66" si="198">MAX(Z66-AB66,0)</f>
        <v>0</v>
      </c>
      <c r="AD66" s="20"/>
      <c r="AE66" s="19"/>
      <c r="AF66" s="19">
        <f t="shared" ref="AF66" si="199">MAX(AC66-AE66,0)</f>
        <v>0</v>
      </c>
      <c r="AG66" s="20"/>
      <c r="AH66" s="19"/>
      <c r="AI66" s="19">
        <f t="shared" ref="AI66" si="200">MAX(AF66-AH66,0)</f>
        <v>0</v>
      </c>
      <c r="AJ66" s="20"/>
      <c r="AK66" s="19"/>
      <c r="AL66" s="19">
        <f t="shared" ref="AL66" si="201">MAX(AI66-AK66,0)</f>
        <v>0</v>
      </c>
      <c r="AM66" s="20"/>
      <c r="AN66" s="19"/>
      <c r="AO66" s="19">
        <f t="shared" ref="AO66" si="202">MAX(AL66-AN66,0)</f>
        <v>0</v>
      </c>
      <c r="AP66" s="20"/>
      <c r="AQ66" s="19"/>
      <c r="AR66" s="19">
        <f t="shared" ref="AR66" si="203">MAX(AO66-AQ66,0)</f>
        <v>0</v>
      </c>
      <c r="AS66" s="20"/>
      <c r="AT66" s="19"/>
      <c r="AU66" s="19">
        <f t="shared" ref="AU66" si="204">MAX(AR66-AT66,0)</f>
        <v>0</v>
      </c>
      <c r="AV66" s="20"/>
      <c r="AW66" s="19"/>
      <c r="AX66" s="19">
        <f t="shared" ref="AX66" si="205">MAX(AU66-AW66,0)</f>
        <v>0</v>
      </c>
      <c r="AY66" s="20"/>
      <c r="AZ66" s="19"/>
      <c r="BA66" s="19"/>
      <c r="BB66" s="20"/>
      <c r="BC66" s="19"/>
      <c r="BD66" s="19">
        <f t="shared" ref="BD66" si="206">MAX(BA66-BC66,0)</f>
        <v>0</v>
      </c>
      <c r="BE66" s="20"/>
      <c r="BF66" s="19"/>
      <c r="BG66" s="19">
        <f t="shared" ref="BG66" si="207">MAX(BD66-BF66,0)</f>
        <v>0</v>
      </c>
      <c r="BH66" s="20"/>
      <c r="BI66" s="19"/>
      <c r="BJ66" s="19">
        <f t="shared" ref="BJ66" si="208">MAX(BG66-BI66,0)</f>
        <v>0</v>
      </c>
      <c r="BK66" s="20"/>
      <c r="BL66" s="19"/>
      <c r="BM66" s="19">
        <f t="shared" ref="BM66" si="209">MAX(BJ66-BL66,0)</f>
        <v>0</v>
      </c>
      <c r="BN66" s="20"/>
      <c r="BO66" s="19"/>
      <c r="BP66" s="19">
        <f t="shared" ref="BP66" si="210">MAX(BM66-BO66,0)</f>
        <v>0</v>
      </c>
      <c r="BQ66" s="20"/>
      <c r="BR66" s="19"/>
      <c r="BS66" s="19">
        <f t="shared" ref="BS66" si="211">MAX(BP66-BR66,0)</f>
        <v>0</v>
      </c>
      <c r="BT66" s="20"/>
      <c r="BU66" s="19"/>
      <c r="BV66" s="19">
        <f t="shared" ref="BV66" si="212">MAX(BS66-BU66,0)</f>
        <v>0</v>
      </c>
      <c r="BW66" s="20"/>
      <c r="BX66" s="19"/>
      <c r="BY66" s="19">
        <f t="shared" ref="BY66" si="213">MAX(BV66-BX66,0)</f>
        <v>0</v>
      </c>
      <c r="BZ66" s="20"/>
      <c r="CA66" s="19"/>
      <c r="CB66" s="19">
        <f t="shared" ref="CB66" si="214">MAX(BY66-CA66,0)</f>
        <v>0</v>
      </c>
      <c r="CC66" s="20"/>
      <c r="CD66" s="21"/>
      <c r="CE66" s="22"/>
    </row>
    <row r="67" spans="1:83" hidden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1"/>
      <c r="K67" s="21"/>
      <c r="L67" s="21"/>
      <c r="M67" s="24"/>
      <c r="N67" s="24"/>
      <c r="O67" s="21"/>
      <c r="P67" s="24"/>
      <c r="Q67" s="24"/>
      <c r="R67" s="21"/>
      <c r="S67" s="24"/>
      <c r="T67" s="24"/>
      <c r="U67" s="24"/>
      <c r="V67" s="24"/>
      <c r="W67" s="24"/>
      <c r="X67" s="21"/>
      <c r="Y67" s="24"/>
      <c r="Z67" s="24"/>
      <c r="AA67" s="21"/>
      <c r="AB67" s="24"/>
      <c r="AC67" s="24"/>
      <c r="AD67" s="21"/>
      <c r="AE67" s="24"/>
      <c r="AF67" s="24"/>
      <c r="AG67" s="21"/>
      <c r="AH67" s="24"/>
      <c r="AI67" s="24"/>
      <c r="AJ67" s="21"/>
      <c r="AK67" s="24"/>
      <c r="AL67" s="24"/>
      <c r="AM67" s="21"/>
      <c r="AN67" s="24"/>
      <c r="AO67" s="24"/>
      <c r="AP67" s="21"/>
      <c r="AQ67" s="24"/>
      <c r="AR67" s="24"/>
      <c r="AS67" s="21"/>
      <c r="AT67" s="24"/>
      <c r="AU67" s="24"/>
      <c r="AV67" s="21"/>
      <c r="AW67" s="24"/>
      <c r="AX67" s="24"/>
      <c r="AY67" s="21"/>
      <c r="AZ67" s="24"/>
      <c r="BA67" s="24"/>
      <c r="BB67" s="21"/>
      <c r="BC67" s="24"/>
      <c r="BD67" s="24"/>
      <c r="BE67" s="21"/>
      <c r="BF67" s="24"/>
      <c r="BG67" s="24"/>
      <c r="BH67" s="21"/>
      <c r="BI67" s="24"/>
      <c r="BJ67" s="24"/>
      <c r="BK67" s="21"/>
      <c r="BL67" s="24"/>
      <c r="BM67" s="24"/>
      <c r="BN67" s="21"/>
      <c r="BO67" s="24"/>
      <c r="BP67" s="24"/>
      <c r="BQ67" s="21"/>
      <c r="BR67" s="24"/>
      <c r="BS67" s="24"/>
      <c r="BT67" s="21"/>
      <c r="BU67" s="24"/>
      <c r="BV67" s="24"/>
      <c r="BW67" s="21"/>
      <c r="BX67" s="24"/>
      <c r="BY67" s="24"/>
      <c r="BZ67" s="21"/>
      <c r="CA67" s="24"/>
      <c r="CB67" s="24"/>
      <c r="CC67" s="21"/>
      <c r="CD67" s="21"/>
      <c r="CE67" s="25"/>
    </row>
    <row r="68" spans="1:83" x14ac:dyDescent="0.25">
      <c r="A68" s="1"/>
      <c r="B68" s="1"/>
      <c r="C68" s="1"/>
      <c r="D68" s="1"/>
      <c r="E68" s="1"/>
      <c r="F68" s="1"/>
      <c r="G68" s="1"/>
      <c r="H68" s="1"/>
      <c r="I68" s="1"/>
      <c r="J68" s="189"/>
      <c r="K68" s="190"/>
      <c r="L68" s="26"/>
      <c r="M68" s="186"/>
      <c r="N68" s="191"/>
      <c r="O68" s="26"/>
      <c r="P68" s="186"/>
      <c r="Q68" s="191"/>
      <c r="R68" s="26"/>
      <c r="S68" s="186"/>
      <c r="T68" s="191"/>
      <c r="U68" s="26"/>
      <c r="V68" s="186"/>
      <c r="W68" s="191"/>
      <c r="X68" s="26"/>
      <c r="Y68" s="186"/>
      <c r="Z68" s="186"/>
      <c r="AA68" s="26"/>
      <c r="AB68" s="186"/>
      <c r="AC68" s="186"/>
      <c r="AD68" s="26"/>
      <c r="AE68" s="186"/>
      <c r="AF68" s="186"/>
      <c r="AG68" s="26"/>
      <c r="AH68" s="186"/>
      <c r="AI68" s="186"/>
      <c r="AJ68" s="26"/>
      <c r="AK68" s="186"/>
      <c r="AL68" s="186"/>
      <c r="AM68" s="26"/>
      <c r="AN68" s="186"/>
      <c r="AO68" s="186"/>
      <c r="AP68" s="26"/>
      <c r="AQ68" s="186"/>
      <c r="AR68" s="186"/>
      <c r="AS68" s="26"/>
      <c r="AT68" s="186"/>
      <c r="AU68" s="186"/>
      <c r="AV68" s="26"/>
      <c r="AW68" s="186"/>
      <c r="AX68" s="186"/>
      <c r="AY68" s="26"/>
      <c r="AZ68" s="186"/>
      <c r="BA68" s="191"/>
      <c r="BB68" s="26"/>
      <c r="BC68" s="186"/>
      <c r="BD68" s="191"/>
      <c r="BE68" s="26"/>
      <c r="BF68" s="186"/>
      <c r="BG68" s="191"/>
      <c r="BH68" s="26"/>
      <c r="BI68" s="186"/>
      <c r="BJ68" s="191"/>
      <c r="BK68" s="26"/>
      <c r="BL68" s="186"/>
      <c r="BM68" s="191"/>
      <c r="BN68" s="26"/>
      <c r="BO68" s="186"/>
      <c r="BP68" s="191"/>
      <c r="BQ68" s="26"/>
      <c r="BR68" s="186"/>
      <c r="BS68" s="191"/>
      <c r="BT68" s="26"/>
      <c r="BU68" s="186"/>
      <c r="BV68" s="191"/>
      <c r="BW68" s="26"/>
      <c r="BX68" s="186"/>
      <c r="BY68" s="191"/>
      <c r="BZ68" s="26"/>
      <c r="CA68" s="186"/>
      <c r="CB68" s="191"/>
      <c r="CC68" s="26"/>
      <c r="CD68" s="26"/>
      <c r="CE68" s="27"/>
    </row>
    <row r="69" spans="1:83" hidden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127"/>
      <c r="K69" s="127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9"/>
    </row>
    <row r="70" spans="1:83" hidden="1" x14ac:dyDescent="0.25">
      <c r="A70" s="30"/>
      <c r="B70" s="30"/>
      <c r="C70" s="30"/>
      <c r="D70" s="30"/>
      <c r="E70" s="28"/>
      <c r="F70" s="28"/>
      <c r="G70" s="28"/>
      <c r="H70" s="28"/>
      <c r="I70" s="28"/>
      <c r="J70" s="21"/>
      <c r="K70" s="127"/>
      <c r="L70" s="28"/>
      <c r="M70" s="31"/>
      <c r="N70" s="28"/>
      <c r="O70" s="28"/>
      <c r="P70" s="31"/>
      <c r="Q70" s="28"/>
      <c r="R70" s="28"/>
      <c r="S70" s="31"/>
      <c r="T70" s="28"/>
      <c r="U70" s="28"/>
      <c r="V70" s="31"/>
      <c r="W70" s="28"/>
      <c r="X70" s="28"/>
      <c r="Y70" s="31"/>
      <c r="Z70" s="28"/>
      <c r="AA70" s="28"/>
      <c r="AB70" s="31"/>
      <c r="AC70" s="28"/>
      <c r="AD70" s="28"/>
      <c r="AE70" s="31"/>
      <c r="AF70" s="28"/>
      <c r="AG70" s="28"/>
      <c r="AH70" s="31"/>
      <c r="AI70" s="28"/>
      <c r="AJ70" s="28"/>
      <c r="AK70" s="31"/>
      <c r="AL70" s="28"/>
      <c r="AM70" s="28"/>
      <c r="AN70" s="31"/>
      <c r="AO70" s="28"/>
      <c r="AP70" s="28"/>
      <c r="AQ70" s="31"/>
      <c r="AR70" s="28"/>
      <c r="AS70" s="28"/>
      <c r="AT70" s="31"/>
      <c r="AU70" s="28"/>
      <c r="AV70" s="28"/>
      <c r="AW70" s="31"/>
      <c r="AX70" s="28"/>
      <c r="AY70" s="28"/>
      <c r="AZ70" s="31"/>
      <c r="BA70" s="28"/>
      <c r="BB70" s="28"/>
      <c r="BC70" s="31"/>
      <c r="BD70" s="28"/>
      <c r="BE70" s="28"/>
      <c r="BF70" s="31"/>
      <c r="BG70" s="28"/>
      <c r="BH70" s="28"/>
      <c r="BI70" s="31"/>
      <c r="BJ70" s="28"/>
      <c r="BK70" s="28"/>
      <c r="BL70" s="31"/>
      <c r="BM70" s="28"/>
      <c r="BN70" s="28"/>
      <c r="BO70" s="31"/>
      <c r="BP70" s="28"/>
      <c r="BQ70" s="28"/>
      <c r="BR70" s="31"/>
      <c r="BS70" s="28"/>
      <c r="BT70" s="28"/>
      <c r="BU70" s="31"/>
      <c r="BV70" s="28"/>
      <c r="BW70" s="28"/>
      <c r="BX70" s="31"/>
      <c r="BY70" s="28"/>
      <c r="BZ70" s="28"/>
      <c r="CA70" s="31"/>
      <c r="CB70" s="28"/>
      <c r="CC70" s="28"/>
      <c r="CD70" s="28"/>
    </row>
    <row r="71" spans="1:83" hidden="1" x14ac:dyDescent="0.25">
      <c r="A71" s="28"/>
      <c r="B71" s="28"/>
      <c r="C71" s="28"/>
      <c r="D71" s="28"/>
      <c r="E71" s="32"/>
      <c r="F71" s="28"/>
      <c r="G71" s="28"/>
      <c r="H71" s="28"/>
      <c r="I71" s="28"/>
      <c r="J71" s="21"/>
      <c r="K71" s="127"/>
      <c r="L71" s="28"/>
      <c r="M71" s="31"/>
      <c r="N71" s="28"/>
      <c r="O71" s="28"/>
      <c r="P71" s="31"/>
      <c r="Q71" s="28"/>
      <c r="R71" s="28"/>
      <c r="S71" s="31"/>
      <c r="T71" s="28"/>
      <c r="U71" s="28"/>
      <c r="V71" s="31"/>
      <c r="W71" s="28"/>
      <c r="X71" s="28"/>
      <c r="Y71" s="31"/>
      <c r="Z71" s="28"/>
      <c r="AA71" s="28"/>
      <c r="AB71" s="31"/>
      <c r="AC71" s="28"/>
      <c r="AD71" s="28"/>
      <c r="AE71" s="31"/>
      <c r="AF71" s="28"/>
      <c r="AG71" s="28"/>
      <c r="AH71" s="31"/>
      <c r="AI71" s="28"/>
      <c r="AJ71" s="28"/>
      <c r="AK71" s="31"/>
      <c r="AL71" s="28"/>
      <c r="AM71" s="28"/>
      <c r="AN71" s="31"/>
      <c r="AO71" s="28"/>
      <c r="AP71" s="28"/>
      <c r="AQ71" s="31"/>
      <c r="AR71" s="28"/>
      <c r="AS71" s="28"/>
      <c r="AT71" s="31"/>
      <c r="AU71" s="28"/>
      <c r="AV71" s="28"/>
      <c r="AW71" s="31"/>
      <c r="AX71" s="28"/>
      <c r="AY71" s="28"/>
      <c r="AZ71" s="31"/>
      <c r="BA71" s="28"/>
      <c r="BB71" s="28"/>
      <c r="BC71" s="31"/>
      <c r="BD71" s="28"/>
      <c r="BE71" s="28"/>
      <c r="BF71" s="31"/>
      <c r="BG71" s="28"/>
      <c r="BH71" s="28"/>
      <c r="BI71" s="31"/>
      <c r="BJ71" s="28"/>
      <c r="BK71" s="28"/>
      <c r="BL71" s="31"/>
      <c r="BM71" s="28"/>
      <c r="BN71" s="28"/>
      <c r="BO71" s="31"/>
      <c r="BP71" s="28"/>
      <c r="BQ71" s="28"/>
      <c r="BR71" s="31"/>
      <c r="BS71" s="28"/>
      <c r="BT71" s="28"/>
      <c r="BU71" s="31"/>
      <c r="BV71" s="28"/>
      <c r="BW71" s="28"/>
      <c r="BX71" s="31"/>
      <c r="BY71" s="28"/>
      <c r="BZ71" s="28"/>
      <c r="CA71" s="31"/>
      <c r="CB71" s="28"/>
      <c r="CC71" s="28"/>
      <c r="CD71" s="28"/>
    </row>
    <row r="72" spans="1:83" x14ac:dyDescent="0.25">
      <c r="A72" s="33"/>
      <c r="B72" s="33"/>
      <c r="C72" s="33"/>
      <c r="D72" s="33"/>
      <c r="E72" s="34"/>
      <c r="F72" s="34"/>
      <c r="G72" s="34"/>
      <c r="H72" s="34"/>
      <c r="I72" s="7"/>
      <c r="J72" s="128"/>
      <c r="K72" s="128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>
        <f t="shared" ref="AZ72:CC72" si="215">SUBTOTAL(109,AZ$4:AZ$66)</f>
        <v>0</v>
      </c>
      <c r="BA72" s="7">
        <f t="shared" si="215"/>
        <v>3.6637359812630166E-15</v>
      </c>
      <c r="BB72" s="7">
        <f t="shared" si="215"/>
        <v>0</v>
      </c>
      <c r="BC72" s="7">
        <f t="shared" si="215"/>
        <v>0</v>
      </c>
      <c r="BD72" s="7">
        <f t="shared" si="215"/>
        <v>3.6637359812630166E-15</v>
      </c>
      <c r="BE72" s="7">
        <f t="shared" si="215"/>
        <v>0</v>
      </c>
      <c r="BF72" s="7">
        <f t="shared" si="215"/>
        <v>0</v>
      </c>
      <c r="BG72" s="7">
        <f t="shared" si="215"/>
        <v>3.6637359812630166E-15</v>
      </c>
      <c r="BH72" s="7">
        <f t="shared" si="215"/>
        <v>0</v>
      </c>
      <c r="BI72" s="7">
        <f t="shared" si="215"/>
        <v>0</v>
      </c>
      <c r="BJ72" s="7">
        <f t="shared" si="215"/>
        <v>3.6637359812630166E-15</v>
      </c>
      <c r="BK72" s="7">
        <f t="shared" si="215"/>
        <v>0</v>
      </c>
      <c r="BL72" s="7">
        <f t="shared" si="215"/>
        <v>0</v>
      </c>
      <c r="BM72" s="7">
        <f t="shared" si="215"/>
        <v>3.6637359812630166E-15</v>
      </c>
      <c r="BN72" s="7">
        <f t="shared" si="215"/>
        <v>0</v>
      </c>
      <c r="BO72" s="7">
        <f t="shared" si="215"/>
        <v>0</v>
      </c>
      <c r="BP72" s="7">
        <f t="shared" si="215"/>
        <v>3.6637359812630166E-15</v>
      </c>
      <c r="BQ72" s="7">
        <f t="shared" si="215"/>
        <v>0</v>
      </c>
      <c r="BR72" s="7">
        <f t="shared" si="215"/>
        <v>0</v>
      </c>
      <c r="BS72" s="7">
        <f t="shared" si="215"/>
        <v>3.6637359812630166E-15</v>
      </c>
      <c r="BT72" s="7">
        <f t="shared" si="215"/>
        <v>0</v>
      </c>
      <c r="BU72" s="7">
        <f t="shared" si="215"/>
        <v>0</v>
      </c>
      <c r="BV72" s="7">
        <f t="shared" si="215"/>
        <v>3.6637359812630166E-15</v>
      </c>
      <c r="BW72" s="7">
        <f t="shared" si="215"/>
        <v>0</v>
      </c>
      <c r="BX72" s="7">
        <f t="shared" si="215"/>
        <v>0</v>
      </c>
      <c r="BY72" s="7">
        <f t="shared" si="215"/>
        <v>3.6637359812630166E-15</v>
      </c>
      <c r="BZ72" s="7">
        <f t="shared" si="215"/>
        <v>0</v>
      </c>
      <c r="CA72" s="7">
        <f t="shared" si="215"/>
        <v>0</v>
      </c>
      <c r="CB72" s="7">
        <f t="shared" si="215"/>
        <v>3.6637359812630166E-15</v>
      </c>
      <c r="CC72" s="7">
        <f t="shared" si="215"/>
        <v>0</v>
      </c>
      <c r="CD72" s="34"/>
      <c r="CE72" s="34"/>
    </row>
    <row r="73" spans="1:83" x14ac:dyDescent="0.25">
      <c r="K73" s="129"/>
      <c r="N73" s="5"/>
      <c r="Q73" s="5"/>
      <c r="T73" s="5"/>
      <c r="W73" s="5"/>
      <c r="Z73" s="5"/>
      <c r="AC73" s="5"/>
      <c r="AF73" s="5"/>
      <c r="AI73" s="5"/>
      <c r="AL73" s="5"/>
      <c r="AO73" s="5"/>
      <c r="AR73" s="5"/>
    </row>
    <row r="74" spans="1:83" x14ac:dyDescent="0.25">
      <c r="K74" s="129"/>
      <c r="N74" s="5"/>
      <c r="Q74" s="5"/>
      <c r="T74" s="5"/>
      <c r="W74" s="5"/>
      <c r="Z74" s="5"/>
      <c r="AC74" s="5"/>
      <c r="AF74" s="5"/>
      <c r="AI74" s="5"/>
      <c r="AL74" s="5"/>
      <c r="AO74" s="5"/>
      <c r="AR74" s="5"/>
    </row>
  </sheetData>
  <mergeCells count="48">
    <mergeCell ref="AE68:AF68"/>
    <mergeCell ref="AB68:AC68"/>
    <mergeCell ref="Y68:Z68"/>
    <mergeCell ref="AE1:AG1"/>
    <mergeCell ref="AB1:AD1"/>
    <mergeCell ref="Y1:AA1"/>
    <mergeCell ref="BX1:BZ1"/>
    <mergeCell ref="BX68:BY68"/>
    <mergeCell ref="CA1:CC1"/>
    <mergeCell ref="CA68:CB68"/>
    <mergeCell ref="BR1:BT1"/>
    <mergeCell ref="BR68:BS68"/>
    <mergeCell ref="BU1:BW1"/>
    <mergeCell ref="BU68:BV68"/>
    <mergeCell ref="BL1:BN1"/>
    <mergeCell ref="BL68:BM68"/>
    <mergeCell ref="BO1:BQ1"/>
    <mergeCell ref="BO68:BP68"/>
    <mergeCell ref="AZ1:BB1"/>
    <mergeCell ref="AZ68:BA68"/>
    <mergeCell ref="BC1:BE1"/>
    <mergeCell ref="BC68:BD68"/>
    <mergeCell ref="BF1:BH1"/>
    <mergeCell ref="BF68:BG68"/>
    <mergeCell ref="BI1:BK1"/>
    <mergeCell ref="BI68:BJ68"/>
    <mergeCell ref="V1:X1"/>
    <mergeCell ref="J68:K68"/>
    <mergeCell ref="M68:N68"/>
    <mergeCell ref="P68:Q68"/>
    <mergeCell ref="S68:T68"/>
    <mergeCell ref="V68:W68"/>
    <mergeCell ref="J1:L1"/>
    <mergeCell ref="M1:O1"/>
    <mergeCell ref="P1:R1"/>
    <mergeCell ref="S1:U1"/>
    <mergeCell ref="AW1:AY1"/>
    <mergeCell ref="AH1:AJ1"/>
    <mergeCell ref="AK1:AM1"/>
    <mergeCell ref="AN1:AP1"/>
    <mergeCell ref="AQ1:AS1"/>
    <mergeCell ref="AT1:AV1"/>
    <mergeCell ref="AT68:AU68"/>
    <mergeCell ref="AW68:AX68"/>
    <mergeCell ref="AH68:AI68"/>
    <mergeCell ref="AK68:AL68"/>
    <mergeCell ref="AN68:AO68"/>
    <mergeCell ref="AQ68:AR68"/>
  </mergeCells>
  <conditionalFormatting sqref="A12:B12 D12">
    <cfRule type="expression" dxfId="109" priority="523" stopIfTrue="1">
      <formula>MOD(ROW(),2)</formula>
    </cfRule>
  </conditionalFormatting>
  <conditionalFormatting sqref="A6:D11">
    <cfRule type="expression" dxfId="108" priority="491" stopIfTrue="1">
      <formula>MOD(ROW(),2)</formula>
    </cfRule>
  </conditionalFormatting>
  <conditionalFormatting sqref="A4:E5">
    <cfRule type="expression" dxfId="107" priority="504" stopIfTrue="1">
      <formula>MOD(ROW(),2)</formula>
    </cfRule>
  </conditionalFormatting>
  <conditionalFormatting sqref="A18:E66">
    <cfRule type="expression" dxfId="106" priority="1" stopIfTrue="1">
      <formula>MOD(ROW(),2)</formula>
    </cfRule>
  </conditionalFormatting>
  <conditionalFormatting sqref="E6:E17">
    <cfRule type="expression" dxfId="105" priority="479" stopIfTrue="1">
      <formula>MOD(ROW(),2)</formula>
    </cfRule>
  </conditionalFormatting>
  <conditionalFormatting sqref="G4:G66">
    <cfRule type="cellIs" dxfId="104" priority="527" stopIfTrue="1" operator="equal">
      <formula>"In Progress"</formula>
    </cfRule>
    <cfRule type="cellIs" dxfId="103" priority="527" stopIfTrue="1" operator="equal">
      <formula>"Complete"</formula>
    </cfRule>
    <cfRule type="cellIs" dxfId="102" priority="527" stopIfTrue="1" operator="equal">
      <formula>"Pending"</formula>
    </cfRule>
  </conditionalFormatting>
  <conditionalFormatting sqref="G68">
    <cfRule type="cellIs" dxfId="101" priority="514" stopIfTrue="1" operator="equal">
      <formula>"In Progress"</formula>
    </cfRule>
    <cfRule type="cellIs" dxfId="100" priority="514" stopIfTrue="1" operator="equal">
      <formula>"Complete"</formula>
    </cfRule>
  </conditionalFormatting>
  <conditionalFormatting sqref="H20:I24">
    <cfRule type="expression" dxfId="99" priority="202" stopIfTrue="1">
      <formula>MOD(ROW(),2)</formula>
    </cfRule>
  </conditionalFormatting>
  <conditionalFormatting sqref="H4:J19 A13:D17">
    <cfRule type="expression" dxfId="98" priority="482" stopIfTrue="1">
      <formula>MOD(ROW(),2)</formula>
    </cfRule>
  </conditionalFormatting>
  <conditionalFormatting sqref="H25:K25">
    <cfRule type="expression" dxfId="97" priority="246" stopIfTrue="1">
      <formula>MOD(ROW(),2)</formula>
    </cfRule>
  </conditionalFormatting>
  <conditionalFormatting sqref="I72">
    <cfRule type="cellIs" dxfId="96" priority="516" stopIfTrue="1" operator="between">
      <formula>C72*0.75</formula>
      <formula>#REF!</formula>
    </cfRule>
    <cfRule type="cellIs" dxfId="95" priority="516" stopIfTrue="1" operator="greaterThan">
      <formula>C72</formula>
    </cfRule>
    <cfRule type="cellIs" dxfId="94" priority="516" stopIfTrue="1" operator="lessThan">
      <formula>C72*0.75</formula>
    </cfRule>
  </conditionalFormatting>
  <conditionalFormatting sqref="J2:J3 M2:M3 P2:P3 S2:S3 V2:V3 Y2:Y3 AB2:AB3 AE2:AE3 AH2:AH3 AK2:AK3 AN2:AN3 AQ2:AQ3 AT2:AT3 AW2:AW3 AZ2:AZ3 BC2:BC3 BF2:BF3 BI2:BI3 BL2:BL3 BO2:BO3 BR2:BR3 BU2:BU3 BX2:BX3 CA2:CA3">
    <cfRule type="expression" dxfId="93" priority="508" stopIfTrue="1">
      <formula>J$1=TODAY()+DailyScrumDateModifier</formula>
    </cfRule>
  </conditionalFormatting>
  <conditionalFormatting sqref="J20:J29 BI20:BI29 BL20:BL29 BO20:BO29 BR20:BR29 BU20:BU29 BX20:BX29 CA20:CA29">
    <cfRule type="expression" dxfId="92" priority="23" stopIfTrue="1">
      <formula>J$1=TODAY()+DailyScrumDateModifier</formula>
    </cfRule>
  </conditionalFormatting>
  <conditionalFormatting sqref="J24:K24 AC24:AC25 AF24:AF25 AI24:AI25 AL24:AL25 AO24:AO25 AR24:AR25 AU24:AU25 AX24:AX25 BA24:BA25 BD24:BD25 BG24:BG25 BI24:BJ25 BL24:BM25 BO24:BP25 BR24:BS25 BU24:BV25 BX24:BY25 CA24:CB25">
    <cfRule type="expression" dxfId="91" priority="214" stopIfTrue="1">
      <formula>MOD(ROW(),2)</formula>
    </cfRule>
  </conditionalFormatting>
  <conditionalFormatting sqref="J27:K28 AC27:AC28 AF27:AF28 AI27:AI28 AL27:AL28 AO27:AO28 AR27:AR28 AU27:AU28 AX27:AX28 BA27:BA28 BD27:BD28 BG27:BG28 BI27:BJ28 BL27:BM28 BO27:BP28 BR27:BS28 BU27:BV28 BX27:BY28 CA27:CB28">
    <cfRule type="expression" dxfId="90" priority="46" stopIfTrue="1">
      <formula>MOD(ROW(),2)</formula>
    </cfRule>
  </conditionalFormatting>
  <conditionalFormatting sqref="J73:K74 M73:N74">
    <cfRule type="expression" dxfId="89" priority="513" stopIfTrue="1">
      <formula>"I1=TODAY()"</formula>
    </cfRule>
  </conditionalFormatting>
  <conditionalFormatting sqref="J1:CC1">
    <cfRule type="expression" dxfId="88" priority="511" stopIfTrue="1">
      <formula>J$1=TODAY()+DailyScrumDateModifier</formula>
    </cfRule>
    <cfRule type="expression" dxfId="87" priority="511" stopIfTrue="1">
      <formula>J$1=TODAY()</formula>
    </cfRule>
  </conditionalFormatting>
  <conditionalFormatting sqref="K2:K3 N2:N3 Q2:Q3 T2:T3 W2:W3 Z2:Z3 AC2:AC3 AF2:AF3 AI2:AI3 AL2:AL3 AO2:AO3 AR2:AR3 AU2:AU3 AX2:AX3 BA2:BA3 BD2:BD3 BG2:BG3 BJ2:BJ3 BM2:BM3 BP2:BP3 BS2:BS3 BV2:BV3 BY2:BY3 CB2:CB3">
    <cfRule type="expression" dxfId="86" priority="509" stopIfTrue="1">
      <formula>J$1=TODAY()+DailyScrumDateModifier</formula>
    </cfRule>
  </conditionalFormatting>
  <conditionalFormatting sqref="K4:K5 N4:N5 Q4:Q5 T4:T5 W4:W5 Z4:Z5 AC4:AC5 AF4:AF5 AI4:AI5 AL4:AL5 AO4:AO5 AR4:AR5 AU4:AU5 AX4:AX5 BA4:BA5 BD4:BD5 BG4:BG5 K7:K16 N7:N16 Q7:Q16 T7:T16 W7:W16 Z7:Z16 AC7:AC16 AF7:AF16 AI7:AI16 AL7:AL16 AO7:AO16 AR7:AR16 AU7:AU16 AX7:AX16 BA7:BA16 BD7:BD16 BG7:BG16 K18:K19 N18:N19 Q18:Q19 T18:T19 W18:W19 Z18:Z19 AC18:AC19 AF18:AF19 AI18:AI19 AL18:AL19 AO18:AO19 AR18:AR19 AU18:AU19 AX18:AX19 BA18:BA19 BD18:BD19 BG18:BG19 AC30:AC66 AF30:AF66 AI30:AI66 AL30:AL66 AO30:AO66 AR30:AR66 AU30:AU66 AX30:AX66 BA30:BA66 BD30:BD66">
    <cfRule type="expression" dxfId="85" priority="528" stopIfTrue="1">
      <formula>MOD(ROW(),2)</formula>
    </cfRule>
  </conditionalFormatting>
  <conditionalFormatting sqref="K4:K29 N4:N29 Q4:Q29 T4:T29 W4:W29 Z4:Z29 BG4:BG29 AC4:AC66 AF4:AF66 AI4:AI66 AL4:AL66 AO4:AO66 AR4:AR66 AU4:AU66 AX4:AX66 BA4:BA66 BD4:BD66 BJ20:BJ29 BM20:BM29 BP20:BP29 BS20:BS29 BV20:BV29 BY20:BY29 CB20:CB29">
    <cfRule type="expression" dxfId="84" priority="24" stopIfTrue="1">
      <formula>J$1=TODAY()+DailyScrumDateModifier</formula>
    </cfRule>
  </conditionalFormatting>
  <conditionalFormatting sqref="L2:L3 O2:O3 R2:R3 U2:U3 X2:X3 AA2:AA3 AD2:AD3 AG2:AG3 AJ2:AJ3 AM2:AM3 AP2:AP3 AS2:AS3 AV2:AV3 AY2:AY3 BB2:BB3 BE2:BE3 BH2:BH3 BK2:BK3 BN2:BN3 BQ2:BQ3 BT2:BT3 BW2:BW3 BZ2:BZ3 CC2:CC3">
    <cfRule type="expression" dxfId="83" priority="510" stopIfTrue="1">
      <formula>J$1=TODAY()+DailyScrumDateModifier</formula>
    </cfRule>
  </conditionalFormatting>
  <conditionalFormatting sqref="L4:L5 O4:O5 R4:R5 U4:U5 X4:X5 AA4:AA5 AD4:AD5 AG4:AG5 AJ4:AJ5 AM4:AM5 AP4:AP5 AS4:AS5 AV4:AV5 AY4:AY5 BB4:BB5 BE4:BE5 BH4:BH5 BK4:BK5 BN4:BN5 BQ4:BQ5 BT4:BT5 BW4:BW5 BZ4:BZ5 CC4:CC5 L7:L16 O7:O16 R7:R16 U7:U16 X7:X16 AA7:AA16 AD7:AD16 AG7:AG16 AJ7:AJ16 AM7:AM16 AP7:AP16 AS7:AS16 AV7:AV16 AY7:AY16 BB7:BB16 BE7:BE16 BH7:BH16 BK7:BK16 BN7:BN16 BQ7:BQ16 BT7:BT16 BW7:BW16 BZ7:BZ16 CC7:CC16 L18:L19 O18:O19 R18:R19 U18:U19 X18:X19 AA18:AA19 AD18:AD19 AG18:AG19 AJ18:AJ19 AM18:AM19 AP18:AP19 AS18:AS19 AV18:AV19 AY18:AY19 BB18:BB19 BE18:BE19 BH18:BH19 BK18:BK19 BN18:BN19 BQ18:BQ19 BT18:BT19 BW18:BW19 BZ18:BZ19 CC18:CC19 L30:L66 O30:O66 R30:R66 U30:U66 X30:X66 AA30:AA66 AD30:AD66 AG30:AG66 AJ30:AJ66 AM30:AM66 AP30:AP66 AS30:AS66 AV30:AV66 AY30:AY66 BB30:BB66 BE30:BE66 BH30:BH66 BK30:BK66 BN30:BN66 BQ30:BQ66 BT30:BT66 BW30:BW66 BZ30:BZ66 CC30:CC66">
    <cfRule type="cellIs" dxfId="82" priority="524" stopIfTrue="1" operator="equal">
      <formula>"Complete"</formula>
    </cfRule>
    <cfRule type="cellIs" dxfId="81" priority="524" stopIfTrue="1" operator="equal">
      <formula>"Pending"</formula>
    </cfRule>
    <cfRule type="cellIs" dxfId="80" priority="524" stopIfTrue="1" operator="equal">
      <formula>"In Progress"</formula>
    </cfRule>
  </conditionalFormatting>
  <conditionalFormatting sqref="L6 O6 R6 U6 X6 AA6 AD6 AG6 AJ6 AM6 AP6 AS6 AV6 AY6 BB6 BE6 BH6 BK6 BN6 BQ6 BT6 BW6 BZ6 CC6">
    <cfRule type="cellIs" dxfId="79" priority="496" stopIfTrue="1" operator="equal">
      <formula>"Pending"</formula>
    </cfRule>
  </conditionalFormatting>
  <conditionalFormatting sqref="L17 O17 R17 U17 X17 AA17 AD17 AG17 AJ17 AM17 AP17 AS17 AV17 AY17 BB17 BE17 BH17 BK17 BN17 BQ17 BT17 BW17 BZ17 CC17">
    <cfRule type="cellIs" dxfId="78" priority="483" stopIfTrue="1" operator="equal">
      <formula>"Pending"</formula>
    </cfRule>
  </conditionalFormatting>
  <conditionalFormatting sqref="L20:L29 O20:O29 R20:R29 U20:U29 X20:X29 AA20:AA29 AD20:AD29 AG20:AG29 AJ20:AJ29 AM20:AM29 AP20:AP29 AS20:AS29 AV20:AV29 AY20:AY29 BB20:BB29 BE20:BE29 BH20:BH29 BK20:BK29 BN20:BN29 BQ20:BQ29 BT20:BT29 BW20:BW29 BZ20:BZ29 CC20:CC29">
    <cfRule type="cellIs" dxfId="77" priority="26" stopIfTrue="1" operator="equal">
      <formula>"Pending"</formula>
    </cfRule>
  </conditionalFormatting>
  <conditionalFormatting sqref="L24:L25 O24:O25 R24:R25 U24:U25 X24:X25 AA24:AA25 AD24:AD25 AG24:AG25 AJ24:AJ25 AM24:AM25 AP24:AP25 AS24:AS25 AV24:AV25 AY24:AY25 BB24:BB25 BE24:BE25 BH24:BH25 BK24:BK25 BN24:BN25 BQ24:BQ25 BT24:BT25 BW24:BW25 BZ24:BZ25 CC24:CC25">
    <cfRule type="cellIs" dxfId="76" priority="212" stopIfTrue="1" operator="equal">
      <formula>"In Progress"</formula>
    </cfRule>
    <cfRule type="cellIs" dxfId="75" priority="213" stopIfTrue="1" operator="equal">
      <formula>"Complete"</formula>
    </cfRule>
  </conditionalFormatting>
  <conditionalFormatting sqref="L27:L28 O27:O28 R27:R28 U27:U28 X27:X28 AA27:AA28 AD27:AD28 AG27:AG28 AJ27:AJ28 AM27:AM28 AP27:AP28 AS27:AS28 AV27:AV28 AY27:AY28 BB27:BB28 BE27:BE28 BH27:BH28 BK27:BK28 BN27:BN28 BQ27:BQ28 BT27:BT28 BW27:BW28 BZ27:BZ28 CC27:CC28">
    <cfRule type="cellIs" dxfId="74" priority="42" stopIfTrue="1" operator="equal">
      <formula>"In Progress"</formula>
    </cfRule>
    <cfRule type="cellIs" dxfId="73" priority="43" stopIfTrue="1" operator="equal">
      <formula>"Complete"</formula>
    </cfRule>
  </conditionalFormatting>
  <conditionalFormatting sqref="M4:M29">
    <cfRule type="expression" dxfId="72" priority="21" stopIfTrue="1">
      <formula>M$1=TODAY()+DailyScrumDateModifier</formula>
    </cfRule>
  </conditionalFormatting>
  <conditionalFormatting sqref="M20:M23">
    <cfRule type="expression" dxfId="71" priority="301" stopIfTrue="1">
      <formula>MOD(ROW(),2)</formula>
    </cfRule>
  </conditionalFormatting>
  <conditionalFormatting sqref="M26">
    <cfRule type="expression" dxfId="70" priority="168" stopIfTrue="1">
      <formula>MOD(ROW(),2)</formula>
    </cfRule>
  </conditionalFormatting>
  <conditionalFormatting sqref="M29">
    <cfRule type="expression" dxfId="69" priority="80" stopIfTrue="1">
      <formula>MOD(ROW(),2)</formula>
    </cfRule>
  </conditionalFormatting>
  <conditionalFormatting sqref="M24:N25">
    <cfRule type="expression" dxfId="68" priority="209" stopIfTrue="1">
      <formula>MOD(ROW(),2)</formula>
    </cfRule>
  </conditionalFormatting>
  <conditionalFormatting sqref="M27:N28">
    <cfRule type="expression" dxfId="67" priority="32" stopIfTrue="1">
      <formula>MOD(ROW(),2)</formula>
    </cfRule>
  </conditionalFormatting>
  <conditionalFormatting sqref="P4:P29">
    <cfRule type="expression" dxfId="66" priority="20" stopIfTrue="1">
      <formula>P$1=TODAY()+DailyScrumDateModifier</formula>
    </cfRule>
  </conditionalFormatting>
  <conditionalFormatting sqref="P20:P23">
    <cfRule type="expression" dxfId="65" priority="299" stopIfTrue="1">
      <formula>MOD(ROW(),2)</formula>
    </cfRule>
  </conditionalFormatting>
  <conditionalFormatting sqref="P26">
    <cfRule type="expression" dxfId="64" priority="166" stopIfTrue="1">
      <formula>MOD(ROW(),2)</formula>
    </cfRule>
  </conditionalFormatting>
  <conditionalFormatting sqref="P29">
    <cfRule type="expression" dxfId="63" priority="78" stopIfTrue="1">
      <formula>MOD(ROW(),2)</formula>
    </cfRule>
  </conditionalFormatting>
  <conditionalFormatting sqref="P24:Q25">
    <cfRule type="expression" dxfId="62" priority="208" stopIfTrue="1">
      <formula>MOD(ROW(),2)</formula>
    </cfRule>
  </conditionalFormatting>
  <conditionalFormatting sqref="P27:Q28">
    <cfRule type="expression" dxfId="61" priority="31" stopIfTrue="1">
      <formula>MOD(ROW(),2)</formula>
    </cfRule>
  </conditionalFormatting>
  <conditionalFormatting sqref="S4:S29">
    <cfRule type="expression" dxfId="60" priority="19" stopIfTrue="1">
      <formula>S$1=TODAY()+DailyScrumDateModifier</formula>
    </cfRule>
  </conditionalFormatting>
  <conditionalFormatting sqref="S20:S23">
    <cfRule type="expression" dxfId="59" priority="297" stopIfTrue="1">
      <formula>MOD(ROW(),2)</formula>
    </cfRule>
  </conditionalFormatting>
  <conditionalFormatting sqref="S26">
    <cfRule type="expression" dxfId="58" priority="164" stopIfTrue="1">
      <formula>MOD(ROW(),2)</formula>
    </cfRule>
  </conditionalFormatting>
  <conditionalFormatting sqref="S29">
    <cfRule type="expression" dxfId="57" priority="76" stopIfTrue="1">
      <formula>MOD(ROW(),2)</formula>
    </cfRule>
  </conditionalFormatting>
  <conditionalFormatting sqref="S24:T25">
    <cfRule type="expression" dxfId="56" priority="207" stopIfTrue="1">
      <formula>MOD(ROW(),2)</formula>
    </cfRule>
  </conditionalFormatting>
  <conditionalFormatting sqref="S27:T28">
    <cfRule type="expression" dxfId="55" priority="30" stopIfTrue="1">
      <formula>MOD(ROW(),2)</formula>
    </cfRule>
  </conditionalFormatting>
  <conditionalFormatting sqref="V4:V29">
    <cfRule type="expression" dxfId="54" priority="18" stopIfTrue="1">
      <formula>V$1=TODAY()+DailyScrumDateModifier</formula>
    </cfRule>
  </conditionalFormatting>
  <conditionalFormatting sqref="V20:V23">
    <cfRule type="expression" dxfId="53" priority="295" stopIfTrue="1">
      <formula>MOD(ROW(),2)</formula>
    </cfRule>
  </conditionalFormatting>
  <conditionalFormatting sqref="V26">
    <cfRule type="expression" dxfId="52" priority="162" stopIfTrue="1">
      <formula>MOD(ROW(),2)</formula>
    </cfRule>
  </conditionalFormatting>
  <conditionalFormatting sqref="V29">
    <cfRule type="expression" dxfId="51" priority="74" stopIfTrue="1">
      <formula>MOD(ROW(),2)</formula>
    </cfRule>
  </conditionalFormatting>
  <conditionalFormatting sqref="V24:W25">
    <cfRule type="expression" dxfId="50" priority="206" stopIfTrue="1">
      <formula>MOD(ROW(),2)</formula>
    </cfRule>
  </conditionalFormatting>
  <conditionalFormatting sqref="V27:W28">
    <cfRule type="expression" dxfId="49" priority="29" stopIfTrue="1">
      <formula>MOD(ROW(),2)</formula>
    </cfRule>
  </conditionalFormatting>
  <conditionalFormatting sqref="Y4:Y29">
    <cfRule type="expression" dxfId="48" priority="17" stopIfTrue="1">
      <formula>Y$1=TODAY()+DailyScrumDateModifier</formula>
    </cfRule>
  </conditionalFormatting>
  <conditionalFormatting sqref="Y20:Y23">
    <cfRule type="expression" dxfId="47" priority="293" stopIfTrue="1">
      <formula>MOD(ROW(),2)</formula>
    </cfRule>
  </conditionalFormatting>
  <conditionalFormatting sqref="Y26">
    <cfRule type="expression" dxfId="46" priority="160" stopIfTrue="1">
      <formula>MOD(ROW(),2)</formula>
    </cfRule>
  </conditionalFormatting>
  <conditionalFormatting sqref="Y29">
    <cfRule type="expression" dxfId="45" priority="72" stopIfTrue="1">
      <formula>MOD(ROW(),2)</formula>
    </cfRule>
  </conditionalFormatting>
  <conditionalFormatting sqref="Y24:Z25">
    <cfRule type="expression" dxfId="44" priority="205" stopIfTrue="1">
      <formula>MOD(ROW(),2)</formula>
    </cfRule>
  </conditionalFormatting>
  <conditionalFormatting sqref="Y27:Z28">
    <cfRule type="expression" dxfId="43" priority="28" stopIfTrue="1">
      <formula>MOD(ROW(),2)</formula>
    </cfRule>
  </conditionalFormatting>
  <conditionalFormatting sqref="AB4:AB29">
    <cfRule type="expression" dxfId="42" priority="16" stopIfTrue="1">
      <formula>AB$1=TODAY()+DailyScrumDateModifier</formula>
    </cfRule>
  </conditionalFormatting>
  <conditionalFormatting sqref="AB20:AB24">
    <cfRule type="expression" dxfId="41" priority="529" stopIfTrue="1">
      <formula>MOD(ROW(),2)</formula>
    </cfRule>
  </conditionalFormatting>
  <conditionalFormatting sqref="AB26">
    <cfRule type="expression" dxfId="40" priority="577" stopIfTrue="1">
      <formula>MOD(ROW(),2)</formula>
    </cfRule>
  </conditionalFormatting>
  <conditionalFormatting sqref="AB29:AB66 AE29:AE66 AH29:AH66 AK29:AK66 AN29:AN66 AQ29:AQ66 AT29:AT66 AW29:AW66 AZ29:AZ66 BC29:BC66 BI4:BJ5 BL4:BM5 BO4:BP5 BR4:BS5 BU4:BV5 BX4:BY5 CA4:CB5 BI7:BJ16 BL7:BM16 BO7:BP16 BR7:BS16 BU7:BV16 BX7:BY16 CA7:CB16 BI18:BJ19 BL18:BM19 BO18:BP19 BR18:BS19 BU18:BV19 BX18:BY19 CA18:CB19 H30:K66 M30:N66 P30:Q66 S30:T66 V30:W66 Y30:Z66 BF30:BG66 BI30:BJ66 BL30:BM66 BO30:BP66 BR30:BS66 BU30:BV66 BX30:BY66 CA30:CB66">
    <cfRule type="expression" dxfId="39" priority="519" stopIfTrue="1">
      <formula>MOD(ROW(),2)</formula>
    </cfRule>
  </conditionalFormatting>
  <conditionalFormatting sqref="AE4:AE29">
    <cfRule type="expression" dxfId="38" priority="15" stopIfTrue="1">
      <formula>AE$1=TODAY()+DailyScrumDateModifier</formula>
    </cfRule>
  </conditionalFormatting>
  <conditionalFormatting sqref="AE20:AE24">
    <cfRule type="expression" dxfId="37" priority="578" stopIfTrue="1">
      <formula>MOD(ROW(),2)</formula>
    </cfRule>
  </conditionalFormatting>
  <conditionalFormatting sqref="AE26">
    <cfRule type="expression" dxfId="36" priority="579" stopIfTrue="1">
      <formula>MOD(ROW(),2)</formula>
    </cfRule>
  </conditionalFormatting>
  <conditionalFormatting sqref="AH4:AH29">
    <cfRule type="expression" dxfId="35" priority="14" stopIfTrue="1">
      <formula>AH$1=TODAY()+DailyScrumDateModifier</formula>
    </cfRule>
  </conditionalFormatting>
  <conditionalFormatting sqref="AH20:AH24">
    <cfRule type="expression" dxfId="34" priority="331" stopIfTrue="1">
      <formula>MOD(ROW(),2)</formula>
    </cfRule>
  </conditionalFormatting>
  <conditionalFormatting sqref="AH26">
    <cfRule type="expression" dxfId="33" priority="580" stopIfTrue="1">
      <formula>MOD(ROW(),2)</formula>
    </cfRule>
  </conditionalFormatting>
  <conditionalFormatting sqref="AK4:AK29">
    <cfRule type="expression" dxfId="32" priority="13" stopIfTrue="1">
      <formula>AK$1=TODAY()+DailyScrumDateModifier</formula>
    </cfRule>
  </conditionalFormatting>
  <conditionalFormatting sqref="AK20:AK24">
    <cfRule type="expression" dxfId="31" priority="531" stopIfTrue="1">
      <formula>MOD(ROW(),2)</formula>
    </cfRule>
  </conditionalFormatting>
  <conditionalFormatting sqref="AK26">
    <cfRule type="expression" dxfId="30" priority="581" stopIfTrue="1">
      <formula>MOD(ROW(),2)</formula>
    </cfRule>
  </conditionalFormatting>
  <conditionalFormatting sqref="AN4:AN29">
    <cfRule type="expression" dxfId="29" priority="12" stopIfTrue="1">
      <formula>AN$1=TODAY()+DailyScrumDateModifier</formula>
    </cfRule>
  </conditionalFormatting>
  <conditionalFormatting sqref="AN20:AN24">
    <cfRule type="expression" dxfId="28" priority="532" stopIfTrue="1">
      <formula>MOD(ROW(),2)</formula>
    </cfRule>
  </conditionalFormatting>
  <conditionalFormatting sqref="AN26">
    <cfRule type="expression" dxfId="27" priority="582" stopIfTrue="1">
      <formula>MOD(ROW(),2)</formula>
    </cfRule>
  </conditionalFormatting>
  <conditionalFormatting sqref="AQ4:AQ29">
    <cfRule type="expression" dxfId="26" priority="11" stopIfTrue="1">
      <formula>AQ$1=TODAY()+DailyScrumDateModifier</formula>
    </cfRule>
  </conditionalFormatting>
  <conditionalFormatting sqref="AQ20:AQ24">
    <cfRule type="expression" dxfId="25" priority="533" stopIfTrue="1">
      <formula>MOD(ROW(),2)</formula>
    </cfRule>
  </conditionalFormatting>
  <conditionalFormatting sqref="AQ26">
    <cfRule type="expression" dxfId="24" priority="583" stopIfTrue="1">
      <formula>MOD(ROW(),2)</formula>
    </cfRule>
  </conditionalFormatting>
  <conditionalFormatting sqref="AT4:AT29">
    <cfRule type="expression" dxfId="23" priority="10" stopIfTrue="1">
      <formula>AT$1=TODAY()+DailyScrumDateModifier</formula>
    </cfRule>
  </conditionalFormatting>
  <conditionalFormatting sqref="AT20:AT24">
    <cfRule type="expression" dxfId="22" priority="534" stopIfTrue="1">
      <formula>MOD(ROW(),2)</formula>
    </cfRule>
  </conditionalFormatting>
  <conditionalFormatting sqref="AT26">
    <cfRule type="expression" dxfId="21" priority="584" stopIfTrue="1">
      <formula>MOD(ROW(),2)</formula>
    </cfRule>
  </conditionalFormatting>
  <conditionalFormatting sqref="AW4:AW29">
    <cfRule type="expression" dxfId="20" priority="9" stopIfTrue="1">
      <formula>AW$1=TODAY()+DailyScrumDateModifier</formula>
    </cfRule>
  </conditionalFormatting>
  <conditionalFormatting sqref="AW20:AW24">
    <cfRule type="expression" dxfId="19" priority="535" stopIfTrue="1">
      <formula>MOD(ROW(),2)</formula>
    </cfRule>
  </conditionalFormatting>
  <conditionalFormatting sqref="AW26">
    <cfRule type="expression" dxfId="18" priority="585" stopIfTrue="1">
      <formula>MOD(ROW(),2)</formula>
    </cfRule>
  </conditionalFormatting>
  <conditionalFormatting sqref="AZ4:AZ29">
    <cfRule type="expression" dxfId="17" priority="8" stopIfTrue="1">
      <formula>AZ$1=TODAY()+DailyScrumDateModifier</formula>
    </cfRule>
  </conditionalFormatting>
  <conditionalFormatting sqref="AZ20:AZ24">
    <cfRule type="expression" dxfId="16" priority="536" stopIfTrue="1">
      <formula>MOD(ROW(),2)</formula>
    </cfRule>
  </conditionalFormatting>
  <conditionalFormatting sqref="AZ26">
    <cfRule type="expression" dxfId="15" priority="586" stopIfTrue="1">
      <formula>MOD(ROW(),2)</formula>
    </cfRule>
  </conditionalFormatting>
  <conditionalFormatting sqref="BC4:BC29">
    <cfRule type="expression" dxfId="14" priority="7" stopIfTrue="1">
      <formula>BC$1=TODAY()+DailyScrumDateModifier</formula>
    </cfRule>
  </conditionalFormatting>
  <conditionalFormatting sqref="BC20:BC24">
    <cfRule type="expression" dxfId="13" priority="537" stopIfTrue="1">
      <formula>MOD(ROW(),2)</formula>
    </cfRule>
  </conditionalFormatting>
  <conditionalFormatting sqref="BC26">
    <cfRule type="expression" dxfId="12" priority="587" stopIfTrue="1">
      <formula>MOD(ROW(),2)</formula>
    </cfRule>
  </conditionalFormatting>
  <conditionalFormatting sqref="BF4:BF24">
    <cfRule type="expression" dxfId="11" priority="315" stopIfTrue="1">
      <formula>BF$1=TODAY()+DailyScrumDateModifier</formula>
    </cfRule>
  </conditionalFormatting>
  <conditionalFormatting sqref="BF20:BF28">
    <cfRule type="expression" dxfId="10" priority="6" stopIfTrue="1">
      <formula>MOD(ROW(),2)</formula>
    </cfRule>
  </conditionalFormatting>
  <conditionalFormatting sqref="BF26">
    <cfRule type="expression" dxfId="9" priority="138" stopIfTrue="1">
      <formula>BF$1=TODAY()+DailyScrumDateModifier</formula>
    </cfRule>
  </conditionalFormatting>
  <conditionalFormatting sqref="BF29">
    <cfRule type="expression" dxfId="8" priority="50" stopIfTrue="1">
      <formula>MOD(ROW(),2)</formula>
    </cfRule>
    <cfRule type="expression" dxfId="7" priority="50" stopIfTrue="1">
      <formula>BF$1=TODAY()+DailyScrumDateModifier</formula>
    </cfRule>
  </conditionalFormatting>
  <conditionalFormatting sqref="BI4:BI5 BL4:BL5 BO4:BO5 BR4:BR5 BU4:BU5 BX4:BX5 CA4:CA5 BI7:BI16 BL7:BL16 BO7:BO16 BR7:BR16 BU7:BU16 BX7:BX16 CA7:CA16 BI18:BI19 BL18:BL19 BO18:BO19 BR18:BR19 BU18:BU19 BX18:BX19 CA18:CA19 J30:J66 M30:M66 P30:P66 S30:S66 V30:V66 Y30:Y66 AB30:AB66 AE30:AE66 AH30:AH66 AK30:AK66 AN30:AN66 AQ30:AQ66 AT30:AT66 AW30:AW66 AZ30:AZ66 BC30:BC66 BF30:BF66 BI30:BI66 BL30:BL66 BO30:BO66 BR30:BR66 BU30:BU66 BX30:BX66 CA30:CA66 J4:J19">
    <cfRule type="expression" dxfId="6" priority="589" stopIfTrue="1">
      <formula>J$1=TODAY()+DailyScrumDateModifier</formula>
    </cfRule>
  </conditionalFormatting>
  <conditionalFormatting sqref="BI6 BL6 BO6 BR6 BU6 BX6 CA6">
    <cfRule type="expression" dxfId="5" priority="493" stopIfTrue="1">
      <formula>BI$1=TODAY()+DailyScrumDateModifier</formula>
    </cfRule>
  </conditionalFormatting>
  <conditionalFormatting sqref="BI17 BL17 BO17 BR17 BU17 BX17 CA17">
    <cfRule type="expression" dxfId="4" priority="480" stopIfTrue="1">
      <formula>BI$1=TODAY()+DailyScrumDateModifier</formula>
    </cfRule>
  </conditionalFormatting>
  <conditionalFormatting sqref="BJ4:BJ5 BM4:BM5 BP4:BP5 BS4:BS5 BV4:BV5 BY4:BY5 CB4:CB5 BJ7:BJ16 BM7:BM16 BP7:BP16 BS7:BS16 BV7:BV16 BY7:BY16 CB7:CB16 BJ18:BJ19 BM18:BM19 BP18:BP19 BS18:BS19 BV18:BV19 BY18:BY19 CB18:CB19 K30:K66 N30:N66 Q30:Q66 T30:T66 W30:W66 Z30:Z66 BG30:BG66 BJ30:BJ66 BM30:BM66 BP30:BP66 BS30:BS66 BV30:BV66 BY30:BY66 CB30:CB66">
    <cfRule type="expression" dxfId="3" priority="521" stopIfTrue="1">
      <formula>J$1=TODAY()+DailyScrumDateModifier</formula>
    </cfRule>
  </conditionalFormatting>
  <conditionalFormatting sqref="BJ6 BM6 BP6 BS6 BV6 BY6 CB6">
    <cfRule type="expression" dxfId="2" priority="494" stopIfTrue="1">
      <formula>BI$1=TODAY()+DailyScrumDateModifier</formula>
    </cfRule>
  </conditionalFormatting>
  <conditionalFormatting sqref="BJ17 BM17 BP17 BS17 BV17 BY17 CB17">
    <cfRule type="expression" dxfId="1" priority="481" stopIfTrue="1">
      <formula>BI$1=TODAY()+DailyScrumDateModifier</formula>
    </cfRule>
  </conditionalFormatting>
  <conditionalFormatting sqref="CE4:CE67 H26:I29">
    <cfRule type="expression" dxfId="0" priority="25" stopIfTrue="1">
      <formula>MOD(ROW(),2)</formula>
    </cfRule>
  </conditionalFormatting>
  <dataValidations count="3">
    <dataValidation type="list" allowBlank="1" showInputMessage="1" showErrorMessage="1" sqref="A4:A66" xr:uid="{00000000-0002-0000-0400-000000000000}">
      <formula1>Worktype</formula1>
    </dataValidation>
    <dataValidation type="list" allowBlank="1" showInputMessage="1" showErrorMessage="1" sqref="B4:B66" xr:uid="{00000000-0002-0000-0400-000001000000}">
      <formula1>Deliverable</formula1>
    </dataValidation>
    <dataValidation type="list" allowBlank="1" showInputMessage="1" showErrorMessage="1" sqref="F4:F66" xr:uid="{00000000-0002-0000-0400-000002000000}">
      <formula1>Members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C2" sqref="C2:C13"/>
    </sheetView>
  </sheetViews>
  <sheetFormatPr baseColWidth="10" defaultColWidth="8.88671875" defaultRowHeight="13.2" x14ac:dyDescent="0.25"/>
  <cols>
    <col min="1" max="1" width="4.88671875" customWidth="1"/>
    <col min="2" max="2" width="28.5546875" customWidth="1"/>
    <col min="3" max="3" width="18.21875" customWidth="1"/>
    <col min="4" max="4" width="11.6640625" customWidth="1"/>
    <col min="5" max="5" width="14.33203125" customWidth="1"/>
    <col min="6" max="6" width="36.21875" customWidth="1"/>
  </cols>
  <sheetData>
    <row r="1" spans="1:6" x14ac:dyDescent="0.25">
      <c r="A1" s="166" t="s">
        <v>141</v>
      </c>
      <c r="B1" s="166" t="s">
        <v>142</v>
      </c>
      <c r="C1" s="166" t="s">
        <v>113</v>
      </c>
      <c r="D1" s="166" t="s">
        <v>143</v>
      </c>
      <c r="E1" s="166" t="s">
        <v>144</v>
      </c>
      <c r="F1" s="166" t="s">
        <v>145</v>
      </c>
    </row>
    <row r="2" spans="1:6" x14ac:dyDescent="0.25">
      <c r="A2">
        <v>1</v>
      </c>
      <c r="B2" t="s">
        <v>146</v>
      </c>
      <c r="C2" t="s">
        <v>147</v>
      </c>
      <c r="D2">
        <v>45</v>
      </c>
      <c r="E2">
        <v>45</v>
      </c>
      <c r="F2" t="s">
        <v>148</v>
      </c>
    </row>
    <row r="3" spans="1:6" x14ac:dyDescent="0.25">
      <c r="A3">
        <v>2</v>
      </c>
      <c r="B3" t="s">
        <v>149</v>
      </c>
      <c r="C3" t="s">
        <v>147</v>
      </c>
      <c r="D3">
        <v>50</v>
      </c>
      <c r="E3">
        <v>50</v>
      </c>
      <c r="F3" t="s">
        <v>148</v>
      </c>
    </row>
    <row r="4" spans="1:6" x14ac:dyDescent="0.25">
      <c r="A4">
        <v>3</v>
      </c>
      <c r="B4" t="s">
        <v>150</v>
      </c>
      <c r="C4" t="s">
        <v>147</v>
      </c>
      <c r="D4">
        <v>55</v>
      </c>
      <c r="E4">
        <v>55</v>
      </c>
      <c r="F4" t="s">
        <v>148</v>
      </c>
    </row>
    <row r="5" spans="1:6" x14ac:dyDescent="0.25">
      <c r="A5">
        <v>4</v>
      </c>
      <c r="B5" t="s">
        <v>151</v>
      </c>
      <c r="C5" t="s">
        <v>147</v>
      </c>
      <c r="D5">
        <v>40</v>
      </c>
      <c r="E5">
        <v>40</v>
      </c>
      <c r="F5" t="s">
        <v>148</v>
      </c>
    </row>
    <row r="6" spans="1:6" x14ac:dyDescent="0.25">
      <c r="A6">
        <v>5</v>
      </c>
      <c r="B6" t="s">
        <v>152</v>
      </c>
      <c r="C6" t="s">
        <v>147</v>
      </c>
      <c r="D6">
        <v>45</v>
      </c>
      <c r="E6">
        <v>45</v>
      </c>
      <c r="F6" t="s">
        <v>148</v>
      </c>
    </row>
    <row r="7" spans="1:6" x14ac:dyDescent="0.25">
      <c r="A7">
        <v>6</v>
      </c>
      <c r="B7" t="s">
        <v>153</v>
      </c>
      <c r="C7" t="s">
        <v>147</v>
      </c>
      <c r="D7">
        <v>50</v>
      </c>
      <c r="E7">
        <v>50</v>
      </c>
      <c r="F7" t="s">
        <v>148</v>
      </c>
    </row>
    <row r="8" spans="1:6" x14ac:dyDescent="0.25">
      <c r="A8">
        <v>7</v>
      </c>
      <c r="B8" t="s">
        <v>154</v>
      </c>
      <c r="C8" t="s">
        <v>147</v>
      </c>
      <c r="D8">
        <v>55</v>
      </c>
      <c r="E8">
        <v>55</v>
      </c>
      <c r="F8" t="s">
        <v>148</v>
      </c>
    </row>
    <row r="9" spans="1:6" x14ac:dyDescent="0.25">
      <c r="A9">
        <v>8</v>
      </c>
      <c r="B9" t="s">
        <v>155</v>
      </c>
      <c r="C9" t="s">
        <v>147</v>
      </c>
      <c r="D9">
        <v>40</v>
      </c>
      <c r="E9">
        <v>40</v>
      </c>
      <c r="F9" t="s">
        <v>148</v>
      </c>
    </row>
    <row r="10" spans="1:6" x14ac:dyDescent="0.25">
      <c r="A10">
        <v>9</v>
      </c>
      <c r="B10" t="s">
        <v>156</v>
      </c>
      <c r="C10" t="s">
        <v>147</v>
      </c>
      <c r="D10">
        <v>45</v>
      </c>
      <c r="E10">
        <v>45</v>
      </c>
      <c r="F10" t="s">
        <v>148</v>
      </c>
    </row>
    <row r="11" spans="1:6" x14ac:dyDescent="0.25">
      <c r="A11">
        <v>10</v>
      </c>
      <c r="B11" t="s">
        <v>157</v>
      </c>
      <c r="C11" t="s">
        <v>147</v>
      </c>
      <c r="D11">
        <v>50</v>
      </c>
      <c r="E11">
        <v>50</v>
      </c>
      <c r="F11" t="s">
        <v>148</v>
      </c>
    </row>
    <row r="12" spans="1:6" x14ac:dyDescent="0.25">
      <c r="A12">
        <v>11</v>
      </c>
      <c r="B12" t="s">
        <v>158</v>
      </c>
      <c r="C12" t="s">
        <v>147</v>
      </c>
      <c r="D12">
        <v>55</v>
      </c>
      <c r="E12">
        <v>55</v>
      </c>
      <c r="F12" t="s">
        <v>148</v>
      </c>
    </row>
    <row r="13" spans="1:6" x14ac:dyDescent="0.25">
      <c r="A13">
        <v>12</v>
      </c>
      <c r="B13" t="s">
        <v>159</v>
      </c>
      <c r="C13" t="s">
        <v>160</v>
      </c>
      <c r="D13">
        <v>67</v>
      </c>
      <c r="E13">
        <v>67</v>
      </c>
      <c r="F1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28</vt:i4>
      </vt:variant>
    </vt:vector>
  </HeadingPairs>
  <TitlesOfParts>
    <vt:vector size="34" baseType="lpstr">
      <vt:lpstr>Team Roster</vt:lpstr>
      <vt:lpstr>Capacity</vt:lpstr>
      <vt:lpstr>Analysis</vt:lpstr>
      <vt:lpstr>Project Specific Reports</vt:lpstr>
      <vt:lpstr>Sprint</vt:lpstr>
      <vt:lpstr>Sprint History</vt:lpstr>
      <vt:lpstr>Analysis!Burndown</vt:lpstr>
      <vt:lpstr>Burndown</vt:lpstr>
      <vt:lpstr>Analysis!BurndownColumns</vt:lpstr>
      <vt:lpstr>BurndownColumns</vt:lpstr>
      <vt:lpstr>Analysis!DailyScrumDateModifier</vt:lpstr>
      <vt:lpstr>DailyScrumDateModifier</vt:lpstr>
      <vt:lpstr>Deliverable</vt:lpstr>
      <vt:lpstr>Analysis!HoursLeftColumn</vt:lpstr>
      <vt:lpstr>HoursLeftColumn</vt:lpstr>
      <vt:lpstr>Analysis!HoursSpentColumn</vt:lpstr>
      <vt:lpstr>HoursSpentColumn</vt:lpstr>
      <vt:lpstr>Analysis!LeftColumn</vt:lpstr>
      <vt:lpstr>LeftColumn</vt:lpstr>
      <vt:lpstr>Analysis!SkipWeekends</vt:lpstr>
      <vt:lpstr>SkipWeekends</vt:lpstr>
      <vt:lpstr>Analysis!SpentColumn</vt:lpstr>
      <vt:lpstr>SpentColumn</vt:lpstr>
      <vt:lpstr>Analysis!SprintDates</vt:lpstr>
      <vt:lpstr>SprintDates</vt:lpstr>
      <vt:lpstr>SprintStart</vt:lpstr>
      <vt:lpstr>Start_Date</vt:lpstr>
      <vt:lpstr>Analysis!StatusColumn</vt:lpstr>
      <vt:lpstr>StatusColumn</vt:lpstr>
      <vt:lpstr>Analysis!StatusTypes</vt:lpstr>
      <vt:lpstr>StatusTypes</vt:lpstr>
      <vt:lpstr>Analysis!TotalEffort</vt:lpstr>
      <vt:lpstr>TotalEffort</vt:lpstr>
      <vt:lpstr>Worktype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NUNEZ MARTINEZ</cp:lastModifiedBy>
  <dcterms:modified xsi:type="dcterms:W3CDTF">2026-05-02T01:56:50Z</dcterms:modified>
</cp:coreProperties>
</file>